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akiwatanabe/Desktop/Claude作業用/運行異常分析/"/>
    </mc:Choice>
  </mc:AlternateContent>
  <xr:revisionPtr revIDLastSave="0" documentId="8_{729EA644-7AF1-704B-AF10-B1C179A56B2A}" xr6:coauthVersionLast="47" xr6:coauthVersionMax="47" xr10:uidLastSave="{00000000-0000-0000-0000-000000000000}"/>
  <bookViews>
    <workbookView xWindow="600" yWindow="660" windowWidth="28800" windowHeight="15860" xr2:uid="{C4F6F8B1-CA88-064A-B29B-B117F36842C1}"/>
  </bookViews>
  <sheets>
    <sheet name="事業用" sheetId="1" r:id="rId1"/>
    <sheet name="自家用" sheetId="4" r:id="rId2"/>
  </sheets>
  <definedNames>
    <definedName name="_xlnm._FilterDatabase" localSheetId="0" hidden="1">事業用!$A$7:$L$54</definedName>
    <definedName name="_xlnm._FilterDatabase" localSheetId="1" hidden="1">自家用!$A$7:$J$8</definedName>
    <definedName name="_xlnm.Print_Area" localSheetId="0">事業用!$A$1:$O$54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4" l="1"/>
  <c r="M1" i="1"/>
</calcChain>
</file>

<file path=xl/sharedStrings.xml><?xml version="1.0" encoding="utf-8"?>
<sst xmlns="http://schemas.openxmlformats.org/spreadsheetml/2006/main" count="541" uniqueCount="215">
  <si>
    <t>車名</t>
    <rPh sb="0" eb="2">
      <t>シャメイ</t>
    </rPh>
    <phoneticPr fontId="1"/>
  </si>
  <si>
    <t>備考</t>
    <rPh sb="0" eb="2">
      <t>ビコウ</t>
    </rPh>
    <phoneticPr fontId="1"/>
  </si>
  <si>
    <t>いすゞ</t>
    <phoneticPr fontId="1"/>
  </si>
  <si>
    <t>更新年月日</t>
    <rPh sb="0" eb="2">
      <t>コウシン</t>
    </rPh>
    <rPh sb="2" eb="5">
      <t>ネンガッピ</t>
    </rPh>
    <phoneticPr fontId="1"/>
  </si>
  <si>
    <t>神奈川エアーメッセンジャー株式会社</t>
    <rPh sb="0" eb="3">
      <t>カナガワ</t>
    </rPh>
    <rPh sb="13" eb="17">
      <t>カブシキガイシャ</t>
    </rPh>
    <phoneticPr fontId="1"/>
  </si>
  <si>
    <t>車 両 一 覧 表</t>
    <rPh sb="0" eb="1">
      <t>クルマ</t>
    </rPh>
    <rPh sb="2" eb="3">
      <t>リョウ</t>
    </rPh>
    <rPh sb="4" eb="5">
      <t>イチ</t>
    </rPh>
    <rPh sb="6" eb="7">
      <t>ラン</t>
    </rPh>
    <rPh sb="8" eb="9">
      <t>ヒョウ</t>
    </rPh>
    <phoneticPr fontId="1"/>
  </si>
  <si>
    <t>×</t>
    <phoneticPr fontId="1"/>
  </si>
  <si>
    <t>No</t>
    <phoneticPr fontId="1"/>
  </si>
  <si>
    <t>車 台 番 号</t>
    <rPh sb="0" eb="1">
      <t>クルマ</t>
    </rPh>
    <rPh sb="2" eb="3">
      <t>ダイ</t>
    </rPh>
    <rPh sb="4" eb="5">
      <t>バン</t>
    </rPh>
    <rPh sb="6" eb="7">
      <t>ゴウ</t>
    </rPh>
    <phoneticPr fontId="1"/>
  </si>
  <si>
    <t>登 録 番 号</t>
    <rPh sb="0" eb="1">
      <t>ノボル</t>
    </rPh>
    <rPh sb="2" eb="3">
      <t>ロク</t>
    </rPh>
    <rPh sb="4" eb="5">
      <t>バン</t>
    </rPh>
    <rPh sb="6" eb="7">
      <t>ゴウ</t>
    </rPh>
    <phoneticPr fontId="1"/>
  </si>
  <si>
    <t>初年度登録年月</t>
    <rPh sb="0" eb="3">
      <t>ショネンド</t>
    </rPh>
    <rPh sb="3" eb="5">
      <t>トウロク</t>
    </rPh>
    <rPh sb="5" eb="7">
      <t>ネンゲツ</t>
    </rPh>
    <phoneticPr fontId="1"/>
  </si>
  <si>
    <t>横浜</t>
    <rPh sb="0" eb="2">
      <t>ヨコハマ</t>
    </rPh>
    <phoneticPr fontId="1"/>
  </si>
  <si>
    <t>日野</t>
    <rPh sb="0" eb="2">
      <t>ヒノ</t>
    </rPh>
    <phoneticPr fontId="1"/>
  </si>
  <si>
    <t>4t</t>
    <phoneticPr fontId="1"/>
  </si>
  <si>
    <t>UD</t>
    <phoneticPr fontId="1"/>
  </si>
  <si>
    <t>平成29年02月</t>
    <rPh sb="0" eb="2">
      <t>ヘイセイ</t>
    </rPh>
    <rPh sb="4" eb="5">
      <t>ネン</t>
    </rPh>
    <rPh sb="7" eb="8">
      <t>ガツ</t>
    </rPh>
    <phoneticPr fontId="1"/>
  </si>
  <si>
    <t>130か1005</t>
    <phoneticPr fontId="1"/>
  </si>
  <si>
    <t>JNCMM60G9HU014340</t>
    <phoneticPr fontId="1"/>
  </si>
  <si>
    <t>平成25年03月</t>
    <rPh sb="0" eb="2">
      <t>ヘイセイ</t>
    </rPh>
    <rPh sb="4" eb="5">
      <t>ネン</t>
    </rPh>
    <rPh sb="7" eb="8">
      <t>ガツ</t>
    </rPh>
    <phoneticPr fontId="1"/>
  </si>
  <si>
    <t>101あ791</t>
    <phoneticPr fontId="1"/>
  </si>
  <si>
    <t>FD7JLA-13031</t>
    <phoneticPr fontId="1"/>
  </si>
  <si>
    <t>トヨタ</t>
    <phoneticPr fontId="1"/>
  </si>
  <si>
    <t>平成19年02月</t>
    <rPh sb="0" eb="2">
      <t>ヘイセイ</t>
    </rPh>
    <rPh sb="4" eb="5">
      <t>ネン</t>
    </rPh>
    <rPh sb="7" eb="8">
      <t>ガツ</t>
    </rPh>
    <phoneticPr fontId="1"/>
  </si>
  <si>
    <t>400あ8383</t>
    <phoneticPr fontId="1"/>
  </si>
  <si>
    <t>TRH200-0054111</t>
    <phoneticPr fontId="1"/>
  </si>
  <si>
    <t>1BOX</t>
    <phoneticPr fontId="1"/>
  </si>
  <si>
    <t>FD7JLA-12958</t>
    <phoneticPr fontId="1"/>
  </si>
  <si>
    <t>平成23年04月</t>
    <rPh sb="0" eb="2">
      <t>ヘイセイ</t>
    </rPh>
    <rPh sb="4" eb="5">
      <t>ネン</t>
    </rPh>
    <rPh sb="7" eb="8">
      <t>ガツ</t>
    </rPh>
    <phoneticPr fontId="1"/>
  </si>
  <si>
    <t>100い9184</t>
    <phoneticPr fontId="1"/>
  </si>
  <si>
    <t>MK36D-15491</t>
    <phoneticPr fontId="1"/>
  </si>
  <si>
    <t>車検</t>
    <rPh sb="0" eb="2">
      <t>シャケン</t>
    </rPh>
    <phoneticPr fontId="1"/>
  </si>
  <si>
    <t>101あ4792</t>
    <phoneticPr fontId="1"/>
  </si>
  <si>
    <t>平成29年05月</t>
    <rPh sb="0" eb="2">
      <t>ヘイセイ</t>
    </rPh>
    <rPh sb="4" eb="5">
      <t>ネン</t>
    </rPh>
    <rPh sb="7" eb="8">
      <t>ガツ</t>
    </rPh>
    <phoneticPr fontId="1"/>
  </si>
  <si>
    <t>FD7JLA-24404</t>
    <phoneticPr fontId="1"/>
  </si>
  <si>
    <t>ダイハツ</t>
    <phoneticPr fontId="1"/>
  </si>
  <si>
    <t>ニッサン</t>
    <phoneticPr fontId="1"/>
  </si>
  <si>
    <t>平成17年10月</t>
    <rPh sb="0" eb="2">
      <t>ヘイセイ</t>
    </rPh>
    <rPh sb="4" eb="5">
      <t>ネン</t>
    </rPh>
    <rPh sb="7" eb="8">
      <t>ガツ</t>
    </rPh>
    <phoneticPr fontId="1"/>
  </si>
  <si>
    <t>400あ6314</t>
    <phoneticPr fontId="1"/>
  </si>
  <si>
    <t>TRH200-0017699</t>
    <phoneticPr fontId="1"/>
  </si>
  <si>
    <t>三菱</t>
    <rPh sb="0" eb="2">
      <t>ミツビシ</t>
    </rPh>
    <phoneticPr fontId="1"/>
  </si>
  <si>
    <t>平成23年06月</t>
    <rPh sb="0" eb="2">
      <t>ヘイセイ</t>
    </rPh>
    <rPh sb="4" eb="5">
      <t>ネン</t>
    </rPh>
    <rPh sb="7" eb="8">
      <t>ガツ</t>
    </rPh>
    <phoneticPr fontId="1"/>
  </si>
  <si>
    <t>800あ7551</t>
    <phoneticPr fontId="1"/>
  </si>
  <si>
    <t>FK64F-540731</t>
    <phoneticPr fontId="1"/>
  </si>
  <si>
    <t>800あ7560</t>
    <phoneticPr fontId="1"/>
  </si>
  <si>
    <t>FK64F-540743</t>
    <phoneticPr fontId="1"/>
  </si>
  <si>
    <t>平成24年07月</t>
    <rPh sb="0" eb="2">
      <t>ヘイセイ</t>
    </rPh>
    <rPh sb="4" eb="5">
      <t>ネン</t>
    </rPh>
    <rPh sb="7" eb="8">
      <t>ガツ</t>
    </rPh>
    <phoneticPr fontId="1"/>
  </si>
  <si>
    <t>101あ148</t>
    <phoneticPr fontId="1"/>
  </si>
  <si>
    <t>FRR90-7034718</t>
    <phoneticPr fontId="1"/>
  </si>
  <si>
    <t>平成17年07月</t>
    <rPh sb="0" eb="2">
      <t>ヘイセイ</t>
    </rPh>
    <rPh sb="4" eb="5">
      <t>ネン</t>
    </rPh>
    <rPh sb="7" eb="8">
      <t>ガツ</t>
    </rPh>
    <phoneticPr fontId="1"/>
  </si>
  <si>
    <t>川崎</t>
    <rPh sb="0" eb="2">
      <t>カワサキ</t>
    </rPh>
    <phoneticPr fontId="1"/>
  </si>
  <si>
    <t>130う1004</t>
    <phoneticPr fontId="1"/>
  </si>
  <si>
    <t>FT54JVX-530363</t>
    <phoneticPr fontId="1"/>
  </si>
  <si>
    <t>平成25年09月</t>
    <rPh sb="0" eb="2">
      <t>ヘイセイ</t>
    </rPh>
    <rPh sb="4" eb="5">
      <t>ネン</t>
    </rPh>
    <rPh sb="7" eb="8">
      <t>ガツ</t>
    </rPh>
    <phoneticPr fontId="1"/>
  </si>
  <si>
    <t>101あ1131</t>
    <phoneticPr fontId="1"/>
  </si>
  <si>
    <t>FD7JLA-13786</t>
    <phoneticPr fontId="1"/>
  </si>
  <si>
    <t>平成26年10月</t>
    <rPh sb="0" eb="2">
      <t>ヘイセイ</t>
    </rPh>
    <rPh sb="4" eb="5">
      <t>ネン</t>
    </rPh>
    <rPh sb="7" eb="8">
      <t>ガツ</t>
    </rPh>
    <phoneticPr fontId="1"/>
  </si>
  <si>
    <t>平成25年11月</t>
    <rPh sb="0" eb="2">
      <t>ヘイセイ</t>
    </rPh>
    <rPh sb="4" eb="5">
      <t>ネン</t>
    </rPh>
    <rPh sb="7" eb="8">
      <t>ガツ</t>
    </rPh>
    <phoneticPr fontId="1"/>
  </si>
  <si>
    <t>131か1001</t>
    <phoneticPr fontId="1"/>
  </si>
  <si>
    <t>FU54VZ-530735</t>
    <phoneticPr fontId="1"/>
  </si>
  <si>
    <t>平成23年11月</t>
    <rPh sb="0" eb="2">
      <t>ヘイセイ</t>
    </rPh>
    <rPh sb="4" eb="5">
      <t>ネン</t>
    </rPh>
    <rPh sb="7" eb="8">
      <t>ガツ</t>
    </rPh>
    <phoneticPr fontId="1"/>
  </si>
  <si>
    <t>100い9589</t>
    <phoneticPr fontId="1"/>
  </si>
  <si>
    <t>FK64F-550241</t>
    <phoneticPr fontId="1"/>
  </si>
  <si>
    <t>平成24年11月</t>
    <rPh sb="0" eb="2">
      <t>ヘイセイ</t>
    </rPh>
    <rPh sb="4" eb="5">
      <t>ネン</t>
    </rPh>
    <rPh sb="7" eb="8">
      <t>ガツ</t>
    </rPh>
    <phoneticPr fontId="1"/>
  </si>
  <si>
    <t>800あ8303</t>
    <phoneticPr fontId="1"/>
  </si>
  <si>
    <t>FD7JLA-12047</t>
    <phoneticPr fontId="1"/>
  </si>
  <si>
    <t>101あ1369</t>
    <phoneticPr fontId="1"/>
  </si>
  <si>
    <t>FD7JLA-14297</t>
    <phoneticPr fontId="1"/>
  </si>
  <si>
    <t>101あ1376</t>
    <phoneticPr fontId="1"/>
  </si>
  <si>
    <t>FD7JLA-14319</t>
    <phoneticPr fontId="1"/>
  </si>
  <si>
    <t>800あ8991</t>
    <phoneticPr fontId="1"/>
  </si>
  <si>
    <t>FD7JLA-14327</t>
    <phoneticPr fontId="1"/>
  </si>
  <si>
    <t>自家用</t>
    <rPh sb="0" eb="3">
      <t>ジカヨウ</t>
    </rPh>
    <phoneticPr fontId="1"/>
  </si>
  <si>
    <t>101あ7257</t>
    <phoneticPr fontId="1"/>
  </si>
  <si>
    <t>FD2AB-112023</t>
    <phoneticPr fontId="1"/>
  </si>
  <si>
    <t>令和1年05月</t>
    <rPh sb="0" eb="2">
      <t>レイワ</t>
    </rPh>
    <rPh sb="3" eb="4">
      <t>ネン</t>
    </rPh>
    <rPh sb="6" eb="7">
      <t>ガツ</t>
    </rPh>
    <phoneticPr fontId="1"/>
  </si>
  <si>
    <t>〇</t>
    <phoneticPr fontId="1"/>
  </si>
  <si>
    <t>所有権</t>
    <rPh sb="0" eb="3">
      <t>ショユウケン</t>
    </rPh>
    <phoneticPr fontId="1"/>
  </si>
  <si>
    <t>スズキ</t>
    <phoneticPr fontId="1"/>
  </si>
  <si>
    <t>589め25</t>
    <phoneticPr fontId="1"/>
  </si>
  <si>
    <t>MH34S-172819</t>
    <phoneticPr fontId="1"/>
  </si>
  <si>
    <t>平成25年07月</t>
    <rPh sb="0" eb="2">
      <t>ヘイセイ</t>
    </rPh>
    <rPh sb="4" eb="5">
      <t>ネン</t>
    </rPh>
    <rPh sb="7" eb="8">
      <t>ガツ</t>
    </rPh>
    <phoneticPr fontId="1"/>
  </si>
  <si>
    <t>平成22年02月</t>
    <rPh sb="0" eb="2">
      <t>ヘイセイ</t>
    </rPh>
    <rPh sb="4" eb="5">
      <t>ネン</t>
    </rPh>
    <rPh sb="7" eb="8">
      <t>ガツ</t>
    </rPh>
    <phoneticPr fontId="1"/>
  </si>
  <si>
    <t>581つ8835</t>
    <phoneticPr fontId="1"/>
  </si>
  <si>
    <t>MG22S-348736</t>
    <phoneticPr fontId="1"/>
  </si>
  <si>
    <t>軽・自家用</t>
    <rPh sb="0" eb="1">
      <t>ケイ</t>
    </rPh>
    <rPh sb="2" eb="5">
      <t>ジカヨウ</t>
    </rPh>
    <phoneticPr fontId="1"/>
  </si>
  <si>
    <t>583そ2301</t>
    <phoneticPr fontId="1"/>
  </si>
  <si>
    <t>HA25S-791327</t>
    <phoneticPr fontId="1"/>
  </si>
  <si>
    <t>583せ2302</t>
    <phoneticPr fontId="1"/>
  </si>
  <si>
    <t>LA300S-1019680</t>
    <phoneticPr fontId="1"/>
  </si>
  <si>
    <t>平成23年10月</t>
    <rPh sb="0" eb="2">
      <t>ヘイセイ</t>
    </rPh>
    <rPh sb="4" eb="5">
      <t>ネン</t>
    </rPh>
    <rPh sb="7" eb="8">
      <t>ガツ</t>
    </rPh>
    <phoneticPr fontId="1"/>
  </si>
  <si>
    <t>360ひ8800</t>
    <phoneticPr fontId="1"/>
  </si>
  <si>
    <t>ZVW40-3112885</t>
    <phoneticPr fontId="1"/>
  </si>
  <si>
    <t>令和05年7月</t>
    <rPh sb="0" eb="2">
      <t>レイワ</t>
    </rPh>
    <rPh sb="4" eb="5">
      <t>ネン</t>
    </rPh>
    <rPh sb="6" eb="7">
      <t>ガツ</t>
    </rPh>
    <phoneticPr fontId="1"/>
  </si>
  <si>
    <t>101い1222</t>
    <phoneticPr fontId="1"/>
  </si>
  <si>
    <t>FD2AB-132807</t>
    <phoneticPr fontId="1"/>
  </si>
  <si>
    <t>101い1225</t>
    <phoneticPr fontId="1"/>
  </si>
  <si>
    <t>FRR90-7192226</t>
    <phoneticPr fontId="1"/>
  </si>
  <si>
    <t>マツダ</t>
    <phoneticPr fontId="1"/>
  </si>
  <si>
    <t>平成27年2月</t>
    <rPh sb="0" eb="2">
      <t>ヘイセイ</t>
    </rPh>
    <rPh sb="4" eb="5">
      <t>ネン</t>
    </rPh>
    <rPh sb="6" eb="7">
      <t>ガツ</t>
    </rPh>
    <phoneticPr fontId="1"/>
  </si>
  <si>
    <t>400あ9222</t>
    <phoneticPr fontId="1"/>
  </si>
  <si>
    <t>SKP2V-210554</t>
    <phoneticPr fontId="1"/>
  </si>
  <si>
    <t>平成26年3月</t>
    <rPh sb="0" eb="2">
      <t>ヘイセイ</t>
    </rPh>
    <rPh sb="4" eb="5">
      <t>ネン</t>
    </rPh>
    <rPh sb="6" eb="7">
      <t>ガツ</t>
    </rPh>
    <phoneticPr fontId="1"/>
  </si>
  <si>
    <t>400あ9040</t>
    <phoneticPr fontId="1"/>
  </si>
  <si>
    <t>TRH200-5020778</t>
    <phoneticPr fontId="1"/>
  </si>
  <si>
    <t>平成22年11月</t>
    <rPh sb="0" eb="2">
      <t>ヘイセイ</t>
    </rPh>
    <phoneticPr fontId="1"/>
  </si>
  <si>
    <t>101い947</t>
    <phoneticPr fontId="1"/>
  </si>
  <si>
    <t>CF7JJY-12918</t>
    <phoneticPr fontId="1"/>
  </si>
  <si>
    <t>平成30年3月</t>
    <rPh sb="0" eb="2">
      <t>ヘイセイ</t>
    </rPh>
    <rPh sb="4" eb="5">
      <t>ネン</t>
    </rPh>
    <rPh sb="6" eb="7">
      <t>ガツ</t>
    </rPh>
    <phoneticPr fontId="1"/>
  </si>
  <si>
    <t>400あ8997</t>
    <phoneticPr fontId="1"/>
  </si>
  <si>
    <t>NCP160-0096850</t>
    <phoneticPr fontId="1"/>
  </si>
  <si>
    <t>令和04年3月</t>
    <rPh sb="0" eb="2">
      <t>レイワ</t>
    </rPh>
    <rPh sb="4" eb="5">
      <t>ネン</t>
    </rPh>
    <rPh sb="6" eb="7">
      <t>ガツ</t>
    </rPh>
    <phoneticPr fontId="1"/>
  </si>
  <si>
    <t>101あ9994</t>
    <phoneticPr fontId="1"/>
  </si>
  <si>
    <t>FD2AB-126388</t>
    <phoneticPr fontId="1"/>
  </si>
  <si>
    <t>平成23年8月</t>
    <rPh sb="0" eb="2">
      <t>ヘイセイ</t>
    </rPh>
    <rPh sb="4" eb="5">
      <t>ネン</t>
    </rPh>
    <rPh sb="6" eb="7">
      <t>ガツ</t>
    </rPh>
    <phoneticPr fontId="1"/>
  </si>
  <si>
    <t>400あ8923</t>
    <phoneticPr fontId="1"/>
  </si>
  <si>
    <t>VM20-020097</t>
    <phoneticPr fontId="1"/>
  </si>
  <si>
    <t>令和03年7月</t>
    <rPh sb="0" eb="2">
      <t>レイワ</t>
    </rPh>
    <rPh sb="4" eb="5">
      <t>ネン</t>
    </rPh>
    <rPh sb="6" eb="7">
      <t>ガツ</t>
    </rPh>
    <phoneticPr fontId="1"/>
  </si>
  <si>
    <t>101あ9398</t>
    <phoneticPr fontId="1"/>
  </si>
  <si>
    <t>FD2AB-123501</t>
    <phoneticPr fontId="1"/>
  </si>
  <si>
    <t>101あ9397</t>
    <phoneticPr fontId="1"/>
  </si>
  <si>
    <t>FD2AB-123423</t>
    <phoneticPr fontId="1"/>
  </si>
  <si>
    <t>400あ9179</t>
    <phoneticPr fontId="1"/>
  </si>
  <si>
    <t>SKP2V-210544</t>
    <phoneticPr fontId="1"/>
  </si>
  <si>
    <t>タイヤ本数</t>
    <phoneticPr fontId="1"/>
  </si>
  <si>
    <t>1t</t>
    <phoneticPr fontId="1"/>
  </si>
  <si>
    <t>10ｔ4軸</t>
    <rPh sb="4" eb="5">
      <t>ジク</t>
    </rPh>
    <phoneticPr fontId="1"/>
  </si>
  <si>
    <t>10t 3軸</t>
    <rPh sb="5" eb="6">
      <t>ジク</t>
    </rPh>
    <phoneticPr fontId="1"/>
  </si>
  <si>
    <t>10ｔ前2軸</t>
    <rPh sb="3" eb="4">
      <t xml:space="preserve">マエ </t>
    </rPh>
    <phoneticPr fontId="1"/>
  </si>
  <si>
    <t>令和5年12月</t>
    <rPh sb="0" eb="2">
      <t>レイワ５ン</t>
    </rPh>
    <phoneticPr fontId="1"/>
  </si>
  <si>
    <t>横浜</t>
    <rPh sb="0" eb="1">
      <t>ヨコハマ</t>
    </rPh>
    <phoneticPr fontId="1"/>
  </si>
  <si>
    <t>101い1553</t>
    <phoneticPr fontId="1"/>
  </si>
  <si>
    <t>FD2AB-133454</t>
    <phoneticPr fontId="1"/>
  </si>
  <si>
    <t>令和5年11月</t>
    <rPh sb="0" eb="2">
      <t>レイワ５ン</t>
    </rPh>
    <phoneticPr fontId="1"/>
  </si>
  <si>
    <t>100き8699</t>
    <phoneticPr fontId="1"/>
  </si>
  <si>
    <t>CYJ77D-7001839</t>
    <phoneticPr fontId="1"/>
  </si>
  <si>
    <t>走行距離(月)</t>
    <rPh sb="0" eb="4">
      <t>ソウコ</t>
    </rPh>
    <rPh sb="5" eb="6">
      <t>ツキ</t>
    </rPh>
    <phoneticPr fontId="1"/>
  </si>
  <si>
    <t>デジタコ未搭載</t>
    <rPh sb="4" eb="7">
      <t>ミトウ</t>
    </rPh>
    <phoneticPr fontId="1"/>
  </si>
  <si>
    <t>平成16年07月</t>
    <rPh sb="0" eb="2">
      <t>ヘイセイ</t>
    </rPh>
    <rPh sb="4" eb="5">
      <t>ネン</t>
    </rPh>
    <rPh sb="7" eb="8">
      <t>ガツ</t>
    </rPh>
    <phoneticPr fontId="1"/>
  </si>
  <si>
    <t>NLP51-0001460</t>
    <phoneticPr fontId="1"/>
  </si>
  <si>
    <t>400あ9010</t>
    <phoneticPr fontId="1"/>
  </si>
  <si>
    <t>令和6年9月</t>
    <rPh sb="0" eb="2">
      <t>レイワ</t>
    </rPh>
    <rPh sb="3" eb="4">
      <t>ネn</t>
    </rPh>
    <rPh sb="5" eb="6">
      <t>ガテゥ</t>
    </rPh>
    <phoneticPr fontId="1"/>
  </si>
  <si>
    <t>101い2171</t>
    <phoneticPr fontId="1"/>
  </si>
  <si>
    <t>FD2AB-137870</t>
    <phoneticPr fontId="1"/>
  </si>
  <si>
    <t>タイヤ保守</t>
    <rPh sb="3" eb="5">
      <t>ホセィウ</t>
    </rPh>
    <phoneticPr fontId="1"/>
  </si>
  <si>
    <t>車両メンテナンス有無</t>
    <rPh sb="0" eb="2">
      <t>シャリョウ</t>
    </rPh>
    <rPh sb="8" eb="10">
      <t>ウム</t>
    </rPh>
    <phoneticPr fontId="1"/>
  </si>
  <si>
    <t>平成25年8月</t>
    <rPh sb="0" eb="2">
      <t>ヘイセイ</t>
    </rPh>
    <rPh sb="4" eb="5">
      <t>ネン</t>
    </rPh>
    <rPh sb="6" eb="7">
      <t>ガツ</t>
    </rPh>
    <phoneticPr fontId="1"/>
  </si>
  <si>
    <t>FRR90-7026728</t>
    <phoneticPr fontId="1"/>
  </si>
  <si>
    <t>川崎</t>
    <rPh sb="0" eb="1">
      <t>カワサキ</t>
    </rPh>
    <phoneticPr fontId="1"/>
  </si>
  <si>
    <t>100い838</t>
    <phoneticPr fontId="1"/>
  </si>
  <si>
    <t>FRR90-7026787</t>
    <phoneticPr fontId="1"/>
  </si>
  <si>
    <t>平成25年3月</t>
    <rPh sb="0" eb="2">
      <t>ヘイセイ</t>
    </rPh>
    <rPh sb="4" eb="5">
      <t>ネン</t>
    </rPh>
    <rPh sb="6" eb="7">
      <t>ガツ</t>
    </rPh>
    <phoneticPr fontId="1"/>
  </si>
  <si>
    <t>400あ9585</t>
    <phoneticPr fontId="1"/>
  </si>
  <si>
    <t>TRH200-0177994</t>
    <phoneticPr fontId="1"/>
  </si>
  <si>
    <t>130い790</t>
    <phoneticPr fontId="1"/>
  </si>
  <si>
    <t>平成27年1月</t>
    <rPh sb="0" eb="2">
      <t>ヘイセイ</t>
    </rPh>
    <rPh sb="4" eb="5">
      <t>ネン</t>
    </rPh>
    <rPh sb="6" eb="7">
      <t>ガツ</t>
    </rPh>
    <phoneticPr fontId="1"/>
  </si>
  <si>
    <t>400あ8411</t>
    <phoneticPr fontId="1"/>
  </si>
  <si>
    <t>SKP2V-209485</t>
    <phoneticPr fontId="1"/>
  </si>
  <si>
    <t>ヤマトリース</t>
    <phoneticPr fontId="1"/>
  </si>
  <si>
    <t>日野</t>
    <rPh sb="0" eb="2">
      <t xml:space="preserve">ヒノン </t>
    </rPh>
    <phoneticPr fontId="1"/>
  </si>
  <si>
    <t>令和7年4月</t>
    <rPh sb="0" eb="2">
      <t>レイワ</t>
    </rPh>
    <rPh sb="3" eb="4">
      <t>ネn</t>
    </rPh>
    <rPh sb="5" eb="6">
      <t>ガテゥ</t>
    </rPh>
    <phoneticPr fontId="1"/>
  </si>
  <si>
    <t>800い5301</t>
    <phoneticPr fontId="1"/>
  </si>
  <si>
    <t>FD2AB-140313</t>
    <phoneticPr fontId="1"/>
  </si>
  <si>
    <t>Mobilots</t>
    <phoneticPr fontId="1"/>
  </si>
  <si>
    <t>100い837</t>
    <phoneticPr fontId="1"/>
  </si>
  <si>
    <t>車両対物保険</t>
    <rPh sb="0" eb="2">
      <t>シャリョウ</t>
    </rPh>
    <rPh sb="2" eb="4">
      <t>タイブテゥ</t>
    </rPh>
    <rPh sb="4" eb="6">
      <t>ホケn</t>
    </rPh>
    <phoneticPr fontId="1"/>
  </si>
  <si>
    <t>損保ジャパン</t>
  </si>
  <si>
    <t>損保ジャパン</t>
    <rPh sb="0" eb="2">
      <t>ソンポ</t>
    </rPh>
    <phoneticPr fontId="1"/>
  </si>
  <si>
    <t>損保ジャパン</t>
    <rPh sb="0" eb="1">
      <t>ソンポ</t>
    </rPh>
    <phoneticPr fontId="1"/>
  </si>
  <si>
    <t>損保ジャパン</t>
    <phoneticPr fontId="1"/>
  </si>
  <si>
    <t>車両対物保険</t>
    <rPh sb="0" eb="6">
      <t>シャリョウ</t>
    </rPh>
    <phoneticPr fontId="1"/>
  </si>
  <si>
    <t>平成20年06月</t>
    <rPh sb="0" eb="2">
      <t>ヘイセイ</t>
    </rPh>
    <rPh sb="4" eb="5">
      <t>ネン</t>
    </rPh>
    <rPh sb="7" eb="8">
      <t>ガツ</t>
    </rPh>
    <phoneticPr fontId="1"/>
  </si>
  <si>
    <t>480か7623</t>
    <phoneticPr fontId="1"/>
  </si>
  <si>
    <t>U71V-0404759</t>
    <phoneticPr fontId="1"/>
  </si>
  <si>
    <t>平成25年08月</t>
    <rPh sb="0" eb="2">
      <t>ヘイセイ</t>
    </rPh>
    <rPh sb="4" eb="5">
      <t>ネン</t>
    </rPh>
    <rPh sb="7" eb="8">
      <t>ガツ</t>
    </rPh>
    <phoneticPr fontId="1"/>
  </si>
  <si>
    <t>537る8800</t>
    <phoneticPr fontId="1"/>
  </si>
  <si>
    <t>NHP10-6202324</t>
    <phoneticPr fontId="1"/>
  </si>
  <si>
    <t>品川</t>
    <rPh sb="0" eb="2">
      <t>シナガワ</t>
    </rPh>
    <phoneticPr fontId="1"/>
  </si>
  <si>
    <t>318め22</t>
    <phoneticPr fontId="1"/>
  </si>
  <si>
    <t>359に8800</t>
    <phoneticPr fontId="1"/>
  </si>
  <si>
    <t>※対人保険は全車神奈川交通共済(対物の空欄も神奈川交通共済)</t>
    <rPh sb="1" eb="5">
      <t>タイジn</t>
    </rPh>
    <rPh sb="6" eb="8">
      <t>ゼンセィア</t>
    </rPh>
    <rPh sb="8" eb="15">
      <t>カナガワ</t>
    </rPh>
    <rPh sb="16" eb="18">
      <t>タイブテゥ</t>
    </rPh>
    <rPh sb="22" eb="29">
      <t>カナガワ</t>
    </rPh>
    <phoneticPr fontId="1"/>
  </si>
  <si>
    <t>令和6年02月</t>
    <rPh sb="0" eb="2">
      <t>レイワ</t>
    </rPh>
    <rPh sb="3" eb="4">
      <t>ネn</t>
    </rPh>
    <rPh sb="6" eb="7">
      <t>ガテゥ</t>
    </rPh>
    <phoneticPr fontId="1"/>
  </si>
  <si>
    <t>AAHH40-4000301</t>
    <phoneticPr fontId="1"/>
  </si>
  <si>
    <t>平成27年02月</t>
    <rPh sb="0" eb="2">
      <t>ヘイセイ</t>
    </rPh>
    <rPh sb="4" eb="5">
      <t>ネn</t>
    </rPh>
    <rPh sb="7" eb="8">
      <t>ガテゥ</t>
    </rPh>
    <phoneticPr fontId="1"/>
  </si>
  <si>
    <t>AWS210-6084471</t>
    <phoneticPr fontId="1"/>
  </si>
  <si>
    <t>令和7年5月</t>
    <rPh sb="0" eb="2">
      <t>レイワ</t>
    </rPh>
    <rPh sb="3" eb="4">
      <t>ネn</t>
    </rPh>
    <rPh sb="5" eb="6">
      <t>ガテゥ</t>
    </rPh>
    <phoneticPr fontId="1"/>
  </si>
  <si>
    <t>100き9372</t>
    <phoneticPr fontId="1"/>
  </si>
  <si>
    <t>CYJ77D-7011614</t>
    <phoneticPr fontId="1"/>
  </si>
  <si>
    <t>三井オートサービス</t>
    <rPh sb="0" eb="2">
      <t>ミツイ</t>
    </rPh>
    <phoneticPr fontId="1"/>
  </si>
  <si>
    <t>あいおい</t>
    <phoneticPr fontId="1"/>
  </si>
  <si>
    <t>トヨタファイナンス</t>
    <phoneticPr fontId="1"/>
  </si>
  <si>
    <t>日野</t>
    <rPh sb="0" eb="2">
      <t xml:space="preserve">ヒノ </t>
    </rPh>
    <phoneticPr fontId="1"/>
  </si>
  <si>
    <t>FC9JJA-12361</t>
    <phoneticPr fontId="1"/>
  </si>
  <si>
    <t>100い936</t>
    <phoneticPr fontId="1"/>
  </si>
  <si>
    <t>令和７年9月</t>
    <rPh sb="0" eb="2">
      <t>レイワ</t>
    </rPh>
    <rPh sb="5" eb="6">
      <t>ガテゥ</t>
    </rPh>
    <phoneticPr fontId="1"/>
  </si>
  <si>
    <t>101い3046</t>
    <phoneticPr fontId="1"/>
  </si>
  <si>
    <t>FD2AB-142297</t>
    <phoneticPr fontId="1"/>
  </si>
  <si>
    <t>101い3047</t>
  </si>
  <si>
    <t>101い3048</t>
  </si>
  <si>
    <t>FD2AB-142298</t>
    <phoneticPr fontId="1"/>
  </si>
  <si>
    <t>FD2AB-142402</t>
    <phoneticPr fontId="1"/>
  </si>
  <si>
    <t>平成27年1月</t>
    <rPh sb="0" eb="2">
      <t>ヘイセイ</t>
    </rPh>
    <rPh sb="4" eb="5">
      <t>ネn</t>
    </rPh>
    <rPh sb="6" eb="7">
      <t>ガテゥ</t>
    </rPh>
    <phoneticPr fontId="1"/>
  </si>
  <si>
    <t>400あ9733</t>
    <phoneticPr fontId="1"/>
  </si>
  <si>
    <t>横浜</t>
    <phoneticPr fontId="1"/>
  </si>
  <si>
    <t>400あ9732</t>
    <phoneticPr fontId="1"/>
  </si>
  <si>
    <t>SKP 2V-210046</t>
    <phoneticPr fontId="1"/>
  </si>
  <si>
    <t>平成27年2月</t>
    <rPh sb="0" eb="2">
      <t>ヘイセイ</t>
    </rPh>
    <rPh sb="4" eb="5">
      <t>ネn</t>
    </rPh>
    <rPh sb="6" eb="7">
      <t>ガテゥ</t>
    </rPh>
    <phoneticPr fontId="1"/>
  </si>
  <si>
    <t>SKP 2V-209810</t>
    <phoneticPr fontId="1"/>
  </si>
  <si>
    <t>４t</t>
    <phoneticPr fontId="1"/>
  </si>
  <si>
    <t>101い3547</t>
    <phoneticPr fontId="1"/>
  </si>
  <si>
    <t>NPR88-7006852</t>
    <phoneticPr fontId="1"/>
  </si>
  <si>
    <t>令和2年5月</t>
    <rPh sb="0" eb="2">
      <t>レイワ</t>
    </rPh>
    <rPh sb="3" eb="4">
      <t>ネn</t>
    </rPh>
    <rPh sb="5" eb="6">
      <t>ガテゥ</t>
    </rPh>
    <phoneticPr fontId="1"/>
  </si>
  <si>
    <t>2t</t>
    <rPh sb="1" eb="2">
      <t>ガテゥ</t>
    </rPh>
    <phoneticPr fontId="1"/>
  </si>
  <si>
    <t>損保：イナガキ様（臼井様）</t>
    <rPh sb="0" eb="2">
      <t>ソンポ</t>
    </rPh>
    <rPh sb="7" eb="8">
      <t>サマ</t>
    </rPh>
    <rPh sb="9" eb="11">
      <t>ウスイ</t>
    </rPh>
    <rPh sb="11" eb="12">
      <t>サマ</t>
    </rPh>
    <phoneticPr fontId="1"/>
  </si>
  <si>
    <t>あいおい：石井様</t>
    <rPh sb="5" eb="7">
      <t>イシイ</t>
    </rPh>
    <rPh sb="7" eb="8">
      <t>サマ</t>
    </rPh>
    <phoneticPr fontId="1"/>
  </si>
  <si>
    <t>※新規は基本あいおい</t>
    <rPh sb="1" eb="3">
      <t xml:space="preserve">シンキハ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</si>
</sst>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yyyy&quot;年&quot;m&quot;月&quot;;@"/>
    <numFmt numFmtId="178" formatCode="m&quot;月&quot;d&quot;日&quot;;@"/>
    <numFmt numFmtId="179" formatCode="0_ "/>
  </numFmts>
  <fonts count="19">
    <font>
      <sz val="11"/>
      <name val="ＭＳ Ｐゴシック"/>
      <charset val="128"/>
    </font>
    <font>
      <sz val="6"/>
      <name val="ＭＳ Ｐゴシック"/>
      <family val="2"/>
      <charset val="128"/>
    </font>
    <font>
      <sz val="10"/>
      <name val="ＭＳ Ｐゴシック"/>
      <family val="2"/>
      <charset val="128"/>
    </font>
    <font>
      <sz val="9.5"/>
      <name val="ＭＳ Ｐゴシック"/>
      <family val="2"/>
      <charset val="128"/>
    </font>
    <font>
      <sz val="11"/>
      <name val="BIZ UD明朝 Medium"/>
      <charset val="128"/>
    </font>
    <font>
      <sz val="9.5"/>
      <name val="BIZ UD明朝 Medium"/>
      <charset val="128"/>
    </font>
    <font>
      <sz val="10"/>
      <name val="BIZ UD明朝 Medium"/>
      <charset val="128"/>
    </font>
    <font>
      <sz val="14"/>
      <name val="BIZ UD明朝 Medium"/>
      <charset val="128"/>
    </font>
    <font>
      <sz val="12"/>
      <name val="BIZ UD明朝 Medium"/>
      <charset val="128"/>
    </font>
    <font>
      <sz val="10"/>
      <name val="ＭＳ Ｐ明朝"/>
      <family val="1"/>
      <charset val="128"/>
    </font>
    <font>
      <sz val="9.5"/>
      <name val="ＭＳ Ｐ明朝"/>
      <family val="1"/>
      <charset val="128"/>
    </font>
    <font>
      <sz val="11"/>
      <name val="ＭＳ Ｐ明朝"/>
      <family val="1"/>
      <charset val="128"/>
    </font>
    <font>
      <sz val="18"/>
      <name val="BIZ UD明朝 Medium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Ｐゴシック"/>
      <family val="2"/>
      <charset val="128"/>
    </font>
    <font>
      <sz val="6"/>
      <name val="ＭＳ Ｐ明朝"/>
      <family val="1"/>
      <charset val="128"/>
    </font>
    <font>
      <sz val="8"/>
      <name val="ＭＳ Ｐ明朝"/>
      <family val="1"/>
      <charset val="128"/>
    </font>
    <font>
      <sz val="11"/>
      <name val="BIZ UD明朝 Medium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shrinkToFit="1"/>
    </xf>
    <xf numFmtId="177" fontId="3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right" vertical="center" shrinkToFit="1"/>
    </xf>
    <xf numFmtId="176" fontId="4" fillId="0" borderId="0" xfId="0" applyNumberFormat="1" applyFont="1" applyAlignment="1">
      <alignment horizontal="right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7" fontId="5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177" fontId="5" fillId="0" borderId="4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right" vertical="center" shrinkToFit="1"/>
    </xf>
    <xf numFmtId="177" fontId="0" fillId="0" borderId="0" xfId="0" applyNumberFormat="1" applyAlignment="1">
      <alignment horizontal="right" vertical="center" shrinkToFit="1"/>
    </xf>
    <xf numFmtId="0" fontId="8" fillId="0" borderId="0" xfId="0" applyFont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6" fillId="0" borderId="7" xfId="0" applyFont="1" applyBorder="1" applyAlignment="1">
      <alignment horizontal="right" vertical="center" shrinkToFit="1"/>
    </xf>
    <xf numFmtId="0" fontId="6" fillId="0" borderId="8" xfId="0" applyFont="1" applyBorder="1" applyAlignment="1">
      <alignment horizontal="center" vertical="center" shrinkToFit="1"/>
    </xf>
    <xf numFmtId="56" fontId="4" fillId="0" borderId="4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178" fontId="0" fillId="0" borderId="0" xfId="0" applyNumberFormat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177" fontId="10" fillId="0" borderId="2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78" fontId="9" fillId="0" borderId="8" xfId="0" applyNumberFormat="1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3" xfId="0" applyFont="1" applyBorder="1" applyAlignment="1">
      <alignment vertical="center" shrinkToFit="1"/>
    </xf>
    <xf numFmtId="0" fontId="11" fillId="0" borderId="9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178" fontId="11" fillId="0" borderId="5" xfId="0" applyNumberFormat="1" applyFont="1" applyBorder="1" applyAlignment="1">
      <alignment horizontal="center" vertical="center" shrinkToFit="1"/>
    </xf>
    <xf numFmtId="179" fontId="11" fillId="0" borderId="11" xfId="0" applyNumberFormat="1" applyFont="1" applyBorder="1">
      <alignment vertical="center"/>
    </xf>
    <xf numFmtId="0" fontId="11" fillId="0" borderId="5" xfId="0" applyFont="1" applyBorder="1">
      <alignment vertical="center"/>
    </xf>
    <xf numFmtId="0" fontId="8" fillId="0" borderId="0" xfId="0" applyFont="1" applyAlignment="1">
      <alignment horizontal="right" vertical="center" shrinkToFit="1"/>
    </xf>
    <xf numFmtId="0" fontId="0" fillId="0" borderId="0" xfId="0" applyAlignment="1">
      <alignment horizontal="right" vertical="center" shrinkToFit="1"/>
    </xf>
    <xf numFmtId="176" fontId="4" fillId="0" borderId="0" xfId="0" applyNumberFormat="1" applyFont="1" applyAlignment="1">
      <alignment vertical="center" shrinkToFit="1"/>
    </xf>
    <xf numFmtId="176" fontId="13" fillId="0" borderId="0" xfId="0" applyNumberFormat="1" applyFont="1" applyAlignment="1">
      <alignment vertical="center" shrinkToFit="1"/>
    </xf>
    <xf numFmtId="177" fontId="11" fillId="0" borderId="5" xfId="0" applyNumberFormat="1" applyFont="1" applyBorder="1" applyAlignment="1">
      <alignment horizontal="right" vertical="center" shrinkToFit="1"/>
    </xf>
    <xf numFmtId="178" fontId="4" fillId="0" borderId="0" xfId="0" applyNumberFormat="1" applyFont="1" applyAlignment="1">
      <alignment horizontal="center" vertical="center" shrinkToFit="1"/>
    </xf>
    <xf numFmtId="178" fontId="6" fillId="0" borderId="7" xfId="0" applyNumberFormat="1" applyFont="1" applyBorder="1" applyAlignment="1">
      <alignment horizontal="center" vertical="center" shrinkToFit="1"/>
    </xf>
    <xf numFmtId="177" fontId="10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7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 shrinkToFit="1"/>
    </xf>
    <xf numFmtId="0" fontId="11" fillId="0" borderId="0" xfId="0" applyFont="1">
      <alignment vertical="center"/>
    </xf>
    <xf numFmtId="0" fontId="0" fillId="0" borderId="5" xfId="0" applyBorder="1">
      <alignment vertical="center"/>
    </xf>
    <xf numFmtId="0" fontId="11" fillId="0" borderId="5" xfId="0" applyFont="1" applyBorder="1" applyAlignment="1">
      <alignment horizontal="right" vertical="center"/>
    </xf>
    <xf numFmtId="0" fontId="11" fillId="0" borderId="10" xfId="0" applyFont="1" applyBorder="1">
      <alignment vertical="center"/>
    </xf>
    <xf numFmtId="0" fontId="11" fillId="0" borderId="6" xfId="0" applyFont="1" applyBorder="1" applyAlignment="1">
      <alignment horizontal="right" vertical="center" shrinkToFit="1"/>
    </xf>
    <xf numFmtId="0" fontId="11" fillId="0" borderId="12" xfId="0" applyFont="1" applyBorder="1" applyAlignment="1">
      <alignment horizontal="right" vertical="center" shrinkToFit="1"/>
    </xf>
    <xf numFmtId="0" fontId="11" fillId="0" borderId="5" xfId="0" applyFont="1" applyBorder="1" applyAlignment="1">
      <alignment horizontal="right" vertical="center" shrinkToFit="1"/>
    </xf>
    <xf numFmtId="177" fontId="11" fillId="0" borderId="4" xfId="0" applyNumberFormat="1" applyFont="1" applyBorder="1" applyAlignment="1">
      <alignment horizontal="right" vertical="center" shrinkToFit="1"/>
    </xf>
    <xf numFmtId="0" fontId="14" fillId="0" borderId="4" xfId="0" applyFont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2" fillId="0" borderId="0" xfId="0" applyFont="1" applyAlignment="1">
      <alignment vertical="center" shrinkToFit="1"/>
    </xf>
    <xf numFmtId="177" fontId="5" fillId="0" borderId="14" xfId="0" applyNumberFormat="1" applyFont="1" applyBorder="1" applyAlignment="1">
      <alignment horizontal="center" vertical="center" shrinkToFit="1"/>
    </xf>
    <xf numFmtId="177" fontId="4" fillId="0" borderId="15" xfId="0" applyNumberFormat="1" applyFont="1" applyBorder="1" applyAlignment="1">
      <alignment horizontal="right" vertical="center" shrinkToFit="1"/>
    </xf>
    <xf numFmtId="177" fontId="4" fillId="0" borderId="16" xfId="0" applyNumberFormat="1" applyFont="1" applyBorder="1" applyAlignment="1">
      <alignment horizontal="right" vertical="center" shrinkToFit="1"/>
    </xf>
    <xf numFmtId="177" fontId="5" fillId="0" borderId="5" xfId="0" applyNumberFormat="1" applyFont="1" applyBorder="1" applyAlignment="1">
      <alignment horizontal="center" vertical="center" shrinkToFit="1"/>
    </xf>
    <xf numFmtId="177" fontId="4" fillId="0" borderId="5" xfId="0" applyNumberFormat="1" applyFont="1" applyBorder="1" applyAlignment="1">
      <alignment horizontal="righ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15" fillId="0" borderId="0" xfId="0" applyFont="1">
      <alignment vertical="center"/>
    </xf>
    <xf numFmtId="178" fontId="11" fillId="2" borderId="5" xfId="0" applyNumberFormat="1" applyFont="1" applyFill="1" applyBorder="1" applyAlignment="1">
      <alignment horizontal="center" vertical="center" shrinkToFit="1"/>
    </xf>
    <xf numFmtId="0" fontId="15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176" fontId="4" fillId="0" borderId="0" xfId="0" applyNumberFormat="1" applyFont="1" applyAlignment="1">
      <alignment horizontal="right" vertical="center" shrinkToFit="1"/>
    </xf>
    <xf numFmtId="0" fontId="6" fillId="0" borderId="7" xfId="0" applyFont="1" applyBorder="1" applyAlignment="1">
      <alignment horizontal="right" vertical="center" shrinkToFit="1"/>
    </xf>
    <xf numFmtId="0" fontId="9" fillId="0" borderId="8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6" fillId="0" borderId="8" xfId="0" applyFont="1" applyBorder="1" applyAlignment="1">
      <alignment horizontal="center" vertical="center" shrinkToFit="1"/>
    </xf>
    <xf numFmtId="0" fontId="6" fillId="0" borderId="13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6897-1BAF-3C47-8E29-74155AC00DEF}">
  <sheetPr>
    <pageSetUpPr fitToPage="1"/>
  </sheetPr>
  <dimension ref="A1:P58"/>
  <sheetViews>
    <sheetView tabSelected="1" topLeftCell="A14" zoomScale="118" zoomScaleNormal="118" workbookViewId="0">
      <selection activeCell="H17" sqref="H17"/>
    </sheetView>
  </sheetViews>
  <sheetFormatPr baseColWidth="10" defaultColWidth="8.83203125" defaultRowHeight="14"/>
  <cols>
    <col min="1" max="1" width="3.6640625" style="2" customWidth="1"/>
    <col min="2" max="2" width="9" style="2" customWidth="1"/>
    <col min="3" max="3" width="11.6640625" style="3" customWidth="1"/>
    <col min="4" max="4" width="6.6640625" style="20" customWidth="1"/>
    <col min="5" max="5" width="12.33203125" style="43" customWidth="1"/>
    <col min="6" max="6" width="20.6640625" style="2" customWidth="1"/>
    <col min="7" max="7" width="14.83203125" style="2" customWidth="1"/>
    <col min="8" max="8" width="15.33203125" style="27" customWidth="1"/>
    <col min="9" max="9" width="8.83203125" customWidth="1"/>
    <col min="10" max="10" width="9.1640625" customWidth="1"/>
    <col min="11" max="11" width="13.33203125" style="63" customWidth="1"/>
    <col min="12" max="12" width="9.83203125" customWidth="1"/>
    <col min="13" max="13" width="11.83203125" customWidth="1"/>
    <col min="14" max="14" width="13.1640625" customWidth="1"/>
    <col min="15" max="15" width="12.5" customWidth="1"/>
  </cols>
  <sheetData>
    <row r="1" spans="1:15">
      <c r="A1" s="72"/>
      <c r="B1" s="72"/>
      <c r="C1" s="72"/>
      <c r="D1" s="18"/>
      <c r="E1" s="19"/>
      <c r="L1" s="6" t="s">
        <v>3</v>
      </c>
      <c r="M1" s="80">
        <f ca="1">TODAY()</f>
        <v>46126</v>
      </c>
      <c r="N1" s="80"/>
    </row>
    <row r="2" spans="1:15">
      <c r="A2" s="4"/>
      <c r="B2" s="4"/>
      <c r="C2" s="5"/>
      <c r="D2" s="18"/>
      <c r="E2" s="19"/>
      <c r="F2" s="50"/>
      <c r="G2" s="7"/>
      <c r="H2" s="47"/>
      <c r="N2" s="1"/>
    </row>
    <row r="3" spans="1:15" ht="14" customHeight="1">
      <c r="A3" s="84" t="s">
        <v>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</row>
    <row r="4" spans="1:15" ht="14" customHeight="1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</row>
    <row r="5" spans="1:15" ht="16" thickBot="1">
      <c r="A5" s="8"/>
      <c r="B5" s="8"/>
      <c r="C5" s="8"/>
      <c r="D5" s="19"/>
      <c r="E5" s="42"/>
      <c r="M5" s="81" t="s">
        <v>4</v>
      </c>
      <c r="N5" s="81"/>
      <c r="O5" s="81"/>
    </row>
    <row r="6" spans="1:15" s="1" customFormat="1" ht="16" thickBot="1">
      <c r="A6" s="8"/>
      <c r="B6" s="8"/>
      <c r="C6" s="8"/>
      <c r="D6" s="19"/>
      <c r="E6" s="42"/>
      <c r="F6" s="51"/>
      <c r="G6" s="23"/>
      <c r="H6" s="48"/>
      <c r="K6" s="64"/>
    </row>
    <row r="7" spans="1:15" ht="22" customHeight="1" thickBot="1">
      <c r="A7" s="28" t="s">
        <v>7</v>
      </c>
      <c r="B7" s="28" t="s">
        <v>0</v>
      </c>
      <c r="C7" s="29" t="s">
        <v>10</v>
      </c>
      <c r="D7" s="82" t="s">
        <v>9</v>
      </c>
      <c r="E7" s="83"/>
      <c r="F7" s="30" t="s">
        <v>8</v>
      </c>
      <c r="G7" s="30" t="s">
        <v>144</v>
      </c>
      <c r="H7" s="31" t="s">
        <v>30</v>
      </c>
      <c r="I7" s="32" t="s">
        <v>1</v>
      </c>
      <c r="J7" s="32" t="s">
        <v>123</v>
      </c>
      <c r="K7" s="32" t="s">
        <v>164</v>
      </c>
      <c r="L7" s="33" t="s">
        <v>76</v>
      </c>
      <c r="M7" s="34" t="s">
        <v>135</v>
      </c>
      <c r="N7" s="35" t="s">
        <v>1</v>
      </c>
      <c r="O7" s="57" t="s">
        <v>143</v>
      </c>
    </row>
    <row r="8" spans="1:15" ht="22" customHeight="1">
      <c r="A8" s="36">
        <v>1</v>
      </c>
      <c r="B8" s="37" t="s">
        <v>14</v>
      </c>
      <c r="C8" s="49" t="s">
        <v>15</v>
      </c>
      <c r="D8" s="61" t="s">
        <v>11</v>
      </c>
      <c r="E8" s="58" t="s">
        <v>16</v>
      </c>
      <c r="F8" s="37" t="s">
        <v>17</v>
      </c>
      <c r="G8" s="37" t="s">
        <v>6</v>
      </c>
      <c r="H8" s="39">
        <v>46073</v>
      </c>
      <c r="I8" s="37" t="s">
        <v>125</v>
      </c>
      <c r="J8" s="36">
        <v>12</v>
      </c>
      <c r="K8" s="36" t="s">
        <v>166</v>
      </c>
      <c r="L8" s="62" t="s">
        <v>157</v>
      </c>
      <c r="M8" s="40">
        <v>2800</v>
      </c>
      <c r="N8" s="41"/>
      <c r="O8" s="38" t="s">
        <v>75</v>
      </c>
    </row>
    <row r="9" spans="1:15" ht="22" customHeight="1">
      <c r="A9" s="36">
        <v>2</v>
      </c>
      <c r="B9" s="37" t="s">
        <v>97</v>
      </c>
      <c r="C9" s="49" t="s">
        <v>98</v>
      </c>
      <c r="D9" s="46" t="s">
        <v>11</v>
      </c>
      <c r="E9" s="58" t="s">
        <v>99</v>
      </c>
      <c r="F9" s="37" t="s">
        <v>100</v>
      </c>
      <c r="G9" s="37"/>
      <c r="H9" s="39">
        <v>46076</v>
      </c>
      <c r="I9" s="37" t="s">
        <v>25</v>
      </c>
      <c r="J9" s="36">
        <v>4</v>
      </c>
      <c r="K9" s="36" t="s">
        <v>167</v>
      </c>
      <c r="L9" s="62" t="s">
        <v>157</v>
      </c>
      <c r="M9" s="40"/>
      <c r="N9" s="41" t="s">
        <v>136</v>
      </c>
      <c r="O9" s="55"/>
    </row>
    <row r="10" spans="1:15" ht="22" customHeight="1">
      <c r="A10" s="36">
        <v>3</v>
      </c>
      <c r="B10" s="37" t="s">
        <v>97</v>
      </c>
      <c r="C10" s="49" t="s">
        <v>98</v>
      </c>
      <c r="D10" s="46" t="s">
        <v>11</v>
      </c>
      <c r="E10" s="58" t="s">
        <v>121</v>
      </c>
      <c r="F10" s="37" t="s">
        <v>122</v>
      </c>
      <c r="G10" s="37"/>
      <c r="H10" s="39">
        <v>46076</v>
      </c>
      <c r="I10" s="37" t="s">
        <v>25</v>
      </c>
      <c r="J10" s="36">
        <v>4</v>
      </c>
      <c r="K10" s="36" t="s">
        <v>168</v>
      </c>
      <c r="L10" s="62" t="s">
        <v>157</v>
      </c>
      <c r="M10" s="40">
        <v>900</v>
      </c>
      <c r="N10" s="41"/>
      <c r="O10" s="55"/>
    </row>
    <row r="11" spans="1:15" ht="22" customHeight="1">
      <c r="A11" s="36">
        <v>4</v>
      </c>
      <c r="B11" s="37" t="s">
        <v>12</v>
      </c>
      <c r="C11" s="49" t="s">
        <v>110</v>
      </c>
      <c r="D11" s="46" t="s">
        <v>11</v>
      </c>
      <c r="E11" s="59" t="s">
        <v>111</v>
      </c>
      <c r="F11" s="37" t="s">
        <v>112</v>
      </c>
      <c r="G11" s="37"/>
      <c r="H11" s="39">
        <v>46091</v>
      </c>
      <c r="I11" s="37" t="s">
        <v>13</v>
      </c>
      <c r="J11" s="36">
        <v>6</v>
      </c>
      <c r="K11" s="36" t="s">
        <v>188</v>
      </c>
      <c r="L11" s="52" t="s">
        <v>162</v>
      </c>
      <c r="M11" s="40">
        <v>4350</v>
      </c>
      <c r="N11" s="41"/>
      <c r="O11" s="38" t="s">
        <v>75</v>
      </c>
    </row>
    <row r="12" spans="1:15" ht="22" customHeight="1">
      <c r="A12" s="36">
        <v>5</v>
      </c>
      <c r="B12" s="37" t="s">
        <v>12</v>
      </c>
      <c r="C12" s="49" t="s">
        <v>18</v>
      </c>
      <c r="D12" s="46" t="s">
        <v>11</v>
      </c>
      <c r="E12" s="59" t="s">
        <v>19</v>
      </c>
      <c r="F12" s="37" t="s">
        <v>20</v>
      </c>
      <c r="G12" s="37" t="s">
        <v>6</v>
      </c>
      <c r="H12" s="39">
        <v>46110</v>
      </c>
      <c r="I12" s="37" t="s">
        <v>13</v>
      </c>
      <c r="J12" s="36">
        <v>6</v>
      </c>
      <c r="K12" s="36" t="s">
        <v>168</v>
      </c>
      <c r="L12" s="62" t="s">
        <v>157</v>
      </c>
      <c r="M12" s="40">
        <v>3100</v>
      </c>
      <c r="N12" s="41"/>
      <c r="O12" s="38" t="s">
        <v>75</v>
      </c>
    </row>
    <row r="13" spans="1:15" ht="22" customHeight="1">
      <c r="A13" s="36">
        <v>6</v>
      </c>
      <c r="B13" s="37" t="s">
        <v>21</v>
      </c>
      <c r="C13" s="49" t="s">
        <v>107</v>
      </c>
      <c r="D13" s="46" t="s">
        <v>11</v>
      </c>
      <c r="E13" s="59" t="s">
        <v>108</v>
      </c>
      <c r="F13" s="37" t="s">
        <v>109</v>
      </c>
      <c r="G13" s="37"/>
      <c r="H13" s="39">
        <v>46115</v>
      </c>
      <c r="I13" s="37" t="s">
        <v>124</v>
      </c>
      <c r="J13" s="36">
        <v>4</v>
      </c>
      <c r="K13" s="36" t="s">
        <v>168</v>
      </c>
      <c r="L13" s="62" t="s">
        <v>157</v>
      </c>
      <c r="M13" s="40">
        <v>9900</v>
      </c>
      <c r="N13" s="41"/>
      <c r="O13" s="55"/>
    </row>
    <row r="14" spans="1:15" ht="22" customHeight="1">
      <c r="A14" s="36">
        <v>7</v>
      </c>
      <c r="B14" s="37" t="s">
        <v>12</v>
      </c>
      <c r="C14" s="49" t="s">
        <v>18</v>
      </c>
      <c r="D14" s="46" t="s">
        <v>49</v>
      </c>
      <c r="E14" s="59" t="s">
        <v>153</v>
      </c>
      <c r="F14" s="37" t="s">
        <v>26</v>
      </c>
      <c r="G14" s="37" t="s">
        <v>6</v>
      </c>
      <c r="H14" s="39">
        <v>46124</v>
      </c>
      <c r="I14" s="37" t="s">
        <v>13</v>
      </c>
      <c r="J14" s="36">
        <v>6</v>
      </c>
      <c r="K14" s="36" t="s">
        <v>188</v>
      </c>
      <c r="L14" s="38" t="s">
        <v>75</v>
      </c>
      <c r="M14" s="40">
        <v>5500</v>
      </c>
      <c r="N14" s="41"/>
      <c r="O14" s="38" t="s">
        <v>75</v>
      </c>
    </row>
    <row r="15" spans="1:15" ht="22" customHeight="1">
      <c r="A15" s="36">
        <v>8</v>
      </c>
      <c r="B15" s="37" t="s">
        <v>14</v>
      </c>
      <c r="C15" s="49" t="s">
        <v>27</v>
      </c>
      <c r="D15" s="46" t="s">
        <v>11</v>
      </c>
      <c r="E15" s="59" t="s">
        <v>28</v>
      </c>
      <c r="F15" s="37" t="s">
        <v>29</v>
      </c>
      <c r="G15" s="37" t="s">
        <v>6</v>
      </c>
      <c r="H15" s="39">
        <v>46127</v>
      </c>
      <c r="I15" s="37" t="s">
        <v>13</v>
      </c>
      <c r="J15" s="36">
        <v>6</v>
      </c>
      <c r="K15" s="36" t="s">
        <v>168</v>
      </c>
      <c r="L15" s="62" t="s">
        <v>157</v>
      </c>
      <c r="M15" s="40">
        <v>2500</v>
      </c>
      <c r="N15" s="41"/>
      <c r="O15" s="38" t="s">
        <v>75</v>
      </c>
    </row>
    <row r="16" spans="1:15" ht="22" customHeight="1">
      <c r="A16" s="36">
        <v>45</v>
      </c>
      <c r="B16" s="37" t="s">
        <v>2</v>
      </c>
      <c r="C16" s="49" t="s">
        <v>184</v>
      </c>
      <c r="D16" s="46" t="s">
        <v>11</v>
      </c>
      <c r="E16" s="60" t="s">
        <v>185</v>
      </c>
      <c r="F16" s="37" t="s">
        <v>186</v>
      </c>
      <c r="G16" s="37"/>
      <c r="H16" s="39">
        <v>46168</v>
      </c>
      <c r="I16" s="37" t="s">
        <v>125</v>
      </c>
      <c r="J16" s="36">
        <v>12</v>
      </c>
      <c r="K16" s="36" t="s">
        <v>165</v>
      </c>
      <c r="L16" s="62" t="s">
        <v>157</v>
      </c>
      <c r="M16" s="56"/>
      <c r="N16" s="41"/>
      <c r="O16" s="41"/>
    </row>
    <row r="17" spans="1:15" ht="22" customHeight="1">
      <c r="A17" s="36">
        <v>40</v>
      </c>
      <c r="B17" s="37" t="s">
        <v>2</v>
      </c>
      <c r="C17" s="49" t="s">
        <v>145</v>
      </c>
      <c r="D17" s="46" t="s">
        <v>147</v>
      </c>
      <c r="E17" s="60" t="s">
        <v>163</v>
      </c>
      <c r="F17" s="37" t="s">
        <v>146</v>
      </c>
      <c r="G17" s="37"/>
      <c r="H17" s="39">
        <v>46171</v>
      </c>
      <c r="I17" s="37" t="s">
        <v>13</v>
      </c>
      <c r="J17" s="52">
        <v>6</v>
      </c>
      <c r="K17" s="36" t="s">
        <v>165</v>
      </c>
      <c r="L17" s="62" t="s">
        <v>157</v>
      </c>
      <c r="M17" s="56"/>
      <c r="N17" s="41"/>
      <c r="O17" s="41"/>
    </row>
    <row r="18" spans="1:15" ht="22" customHeight="1">
      <c r="A18" s="36">
        <v>9</v>
      </c>
      <c r="B18" s="37" t="s">
        <v>12</v>
      </c>
      <c r="C18" s="49" t="s">
        <v>32</v>
      </c>
      <c r="D18" s="46" t="s">
        <v>11</v>
      </c>
      <c r="E18" s="59" t="s">
        <v>31</v>
      </c>
      <c r="F18" s="37" t="s">
        <v>33</v>
      </c>
      <c r="G18" s="37" t="s">
        <v>6</v>
      </c>
      <c r="H18" s="39">
        <v>46160</v>
      </c>
      <c r="I18" s="37" t="s">
        <v>13</v>
      </c>
      <c r="J18" s="36">
        <v>6</v>
      </c>
      <c r="K18" s="36" t="s">
        <v>165</v>
      </c>
      <c r="L18" s="62" t="s">
        <v>157</v>
      </c>
      <c r="M18" s="40">
        <v>14000</v>
      </c>
      <c r="N18" s="41"/>
      <c r="O18" s="38" t="s">
        <v>75</v>
      </c>
    </row>
    <row r="19" spans="1:15" ht="22" customHeight="1">
      <c r="A19" s="36">
        <v>10</v>
      </c>
      <c r="B19" s="37" t="s">
        <v>12</v>
      </c>
      <c r="C19" s="49" t="s">
        <v>74</v>
      </c>
      <c r="D19" s="46" t="s">
        <v>11</v>
      </c>
      <c r="E19" s="59" t="s">
        <v>72</v>
      </c>
      <c r="F19" s="37" t="s">
        <v>73</v>
      </c>
      <c r="G19" s="37" t="s">
        <v>75</v>
      </c>
      <c r="H19" s="39">
        <v>46172</v>
      </c>
      <c r="I19" s="37" t="s">
        <v>13</v>
      </c>
      <c r="J19" s="36">
        <v>6</v>
      </c>
      <c r="K19" s="36" t="s">
        <v>188</v>
      </c>
      <c r="L19" s="74" t="s">
        <v>189</v>
      </c>
      <c r="M19" s="40">
        <v>2300</v>
      </c>
      <c r="N19" s="41"/>
      <c r="O19" s="55"/>
    </row>
    <row r="20" spans="1:15" ht="22" customHeight="1">
      <c r="A20" s="36">
        <v>11</v>
      </c>
      <c r="B20" s="37" t="s">
        <v>21</v>
      </c>
      <c r="C20" s="49" t="s">
        <v>137</v>
      </c>
      <c r="D20" s="46" t="s">
        <v>11</v>
      </c>
      <c r="E20" s="59" t="s">
        <v>139</v>
      </c>
      <c r="F20" s="37" t="s">
        <v>138</v>
      </c>
      <c r="G20" s="37"/>
      <c r="H20" s="39">
        <v>46179</v>
      </c>
      <c r="I20" s="37" t="s">
        <v>25</v>
      </c>
      <c r="J20" s="36">
        <v>4</v>
      </c>
      <c r="K20" s="36" t="s">
        <v>165</v>
      </c>
      <c r="L20" s="62" t="s">
        <v>157</v>
      </c>
      <c r="M20" s="40"/>
      <c r="N20" s="41" t="s">
        <v>136</v>
      </c>
      <c r="O20" s="55"/>
    </row>
    <row r="21" spans="1:15" ht="22" customHeight="1">
      <c r="A21" s="36">
        <v>12</v>
      </c>
      <c r="B21" s="37" t="s">
        <v>21</v>
      </c>
      <c r="C21" s="49" t="s">
        <v>101</v>
      </c>
      <c r="D21" s="46" t="s">
        <v>11</v>
      </c>
      <c r="E21" s="59" t="s">
        <v>102</v>
      </c>
      <c r="F21" s="37" t="s">
        <v>103</v>
      </c>
      <c r="G21" s="37"/>
      <c r="H21" s="39">
        <v>46179</v>
      </c>
      <c r="I21" s="37" t="s">
        <v>25</v>
      </c>
      <c r="J21" s="36">
        <v>4</v>
      </c>
      <c r="K21" s="36" t="s">
        <v>165</v>
      </c>
      <c r="L21" s="62" t="s">
        <v>157</v>
      </c>
      <c r="M21" s="40">
        <v>2250</v>
      </c>
      <c r="N21" s="41"/>
      <c r="O21" s="55"/>
    </row>
    <row r="22" spans="1:15" ht="22" customHeight="1">
      <c r="A22" s="36">
        <v>13</v>
      </c>
      <c r="B22" s="37" t="s">
        <v>21</v>
      </c>
      <c r="C22" s="49" t="s">
        <v>36</v>
      </c>
      <c r="D22" s="46" t="s">
        <v>11</v>
      </c>
      <c r="E22" s="59" t="s">
        <v>37</v>
      </c>
      <c r="F22" s="37" t="s">
        <v>38</v>
      </c>
      <c r="G22" s="37" t="s">
        <v>6</v>
      </c>
      <c r="H22" s="39">
        <v>46193</v>
      </c>
      <c r="I22" s="37" t="s">
        <v>25</v>
      </c>
      <c r="J22" s="36">
        <v>4</v>
      </c>
      <c r="K22" s="36" t="s">
        <v>188</v>
      </c>
      <c r="L22" s="73" t="s">
        <v>187</v>
      </c>
      <c r="M22" s="40">
        <v>1600</v>
      </c>
      <c r="N22" s="41"/>
      <c r="O22" s="55"/>
    </row>
    <row r="23" spans="1:15" ht="22" customHeight="1">
      <c r="A23" s="36">
        <v>14</v>
      </c>
      <c r="B23" s="37" t="s">
        <v>39</v>
      </c>
      <c r="C23" s="49" t="s">
        <v>40</v>
      </c>
      <c r="D23" s="46" t="s">
        <v>11</v>
      </c>
      <c r="E23" s="59" t="s">
        <v>41</v>
      </c>
      <c r="F23" s="37" t="s">
        <v>42</v>
      </c>
      <c r="G23" s="37" t="s">
        <v>6</v>
      </c>
      <c r="H23" s="77">
        <v>46194</v>
      </c>
      <c r="I23" s="37" t="s">
        <v>13</v>
      </c>
      <c r="J23" s="36">
        <v>6</v>
      </c>
      <c r="K23" s="36" t="s">
        <v>165</v>
      </c>
      <c r="L23" s="62" t="s">
        <v>157</v>
      </c>
      <c r="M23" s="40">
        <v>3150</v>
      </c>
      <c r="N23" s="41"/>
      <c r="O23" s="38" t="s">
        <v>75</v>
      </c>
    </row>
    <row r="24" spans="1:15" ht="22" customHeight="1">
      <c r="A24" s="36">
        <v>15</v>
      </c>
      <c r="B24" s="37" t="s">
        <v>39</v>
      </c>
      <c r="C24" s="49" t="s">
        <v>40</v>
      </c>
      <c r="D24" s="46" t="s">
        <v>11</v>
      </c>
      <c r="E24" s="59" t="s">
        <v>43</v>
      </c>
      <c r="F24" s="37" t="s">
        <v>44</v>
      </c>
      <c r="G24" s="37" t="s">
        <v>6</v>
      </c>
      <c r="H24" s="77">
        <v>46194</v>
      </c>
      <c r="I24" s="37" t="s">
        <v>13</v>
      </c>
      <c r="J24" s="36">
        <v>6</v>
      </c>
      <c r="K24" s="36" t="s">
        <v>165</v>
      </c>
      <c r="L24" s="62" t="s">
        <v>157</v>
      </c>
      <c r="M24" s="40">
        <v>900</v>
      </c>
      <c r="N24" s="41"/>
      <c r="O24" s="55"/>
    </row>
    <row r="25" spans="1:15" ht="22" customHeight="1">
      <c r="A25" s="36">
        <v>16</v>
      </c>
      <c r="B25" s="37" t="s">
        <v>2</v>
      </c>
      <c r="C25" s="49" t="s">
        <v>45</v>
      </c>
      <c r="D25" s="46" t="s">
        <v>11</v>
      </c>
      <c r="E25" s="59" t="s">
        <v>46</v>
      </c>
      <c r="F25" s="37" t="s">
        <v>47</v>
      </c>
      <c r="G25" s="37" t="s">
        <v>6</v>
      </c>
      <c r="H25" s="77">
        <v>46198</v>
      </c>
      <c r="I25" s="37" t="s">
        <v>13</v>
      </c>
      <c r="J25" s="36">
        <v>6</v>
      </c>
      <c r="K25" s="36" t="s">
        <v>165</v>
      </c>
      <c r="L25" s="62" t="s">
        <v>157</v>
      </c>
      <c r="M25" s="40">
        <v>2950</v>
      </c>
      <c r="N25" s="41"/>
      <c r="O25" s="38" t="s">
        <v>75</v>
      </c>
    </row>
    <row r="26" spans="1:15" ht="22" customHeight="1">
      <c r="A26" s="36">
        <v>17</v>
      </c>
      <c r="B26" s="37" t="s">
        <v>12</v>
      </c>
      <c r="C26" s="49" t="s">
        <v>116</v>
      </c>
      <c r="D26" s="46" t="s">
        <v>11</v>
      </c>
      <c r="E26" s="59" t="s">
        <v>117</v>
      </c>
      <c r="F26" s="37" t="s">
        <v>118</v>
      </c>
      <c r="G26" s="37"/>
      <c r="H26" s="77">
        <v>46210</v>
      </c>
      <c r="I26" s="37" t="s">
        <v>13</v>
      </c>
      <c r="J26" s="36">
        <v>6</v>
      </c>
      <c r="K26" s="36" t="s">
        <v>188</v>
      </c>
      <c r="L26" s="52" t="s">
        <v>162</v>
      </c>
      <c r="M26" s="40">
        <v>6000</v>
      </c>
      <c r="N26" s="41"/>
      <c r="O26" s="38" t="s">
        <v>75</v>
      </c>
    </row>
    <row r="27" spans="1:15" ht="22" customHeight="1">
      <c r="A27" s="36">
        <v>18</v>
      </c>
      <c r="B27" s="37" t="s">
        <v>12</v>
      </c>
      <c r="C27" s="49" t="s">
        <v>116</v>
      </c>
      <c r="D27" s="46" t="s">
        <v>11</v>
      </c>
      <c r="E27" s="59" t="s">
        <v>119</v>
      </c>
      <c r="F27" s="37" t="s">
        <v>120</v>
      </c>
      <c r="G27" s="37" t="s">
        <v>75</v>
      </c>
      <c r="H27" s="77">
        <v>46210</v>
      </c>
      <c r="I27" s="37" t="s">
        <v>13</v>
      </c>
      <c r="J27" s="36">
        <v>6</v>
      </c>
      <c r="K27" s="36" t="s">
        <v>165</v>
      </c>
      <c r="L27" s="52" t="s">
        <v>162</v>
      </c>
      <c r="M27" s="40">
        <v>1350</v>
      </c>
      <c r="N27" s="41"/>
      <c r="O27" s="38" t="s">
        <v>75</v>
      </c>
    </row>
    <row r="28" spans="1:15" ht="22" customHeight="1">
      <c r="A28" s="36">
        <v>19</v>
      </c>
      <c r="B28" s="37" t="s">
        <v>21</v>
      </c>
      <c r="C28" s="49" t="s">
        <v>22</v>
      </c>
      <c r="D28" s="46" t="s">
        <v>11</v>
      </c>
      <c r="E28" s="59" t="s">
        <v>23</v>
      </c>
      <c r="F28" s="37" t="s">
        <v>24</v>
      </c>
      <c r="G28" s="37" t="s">
        <v>6</v>
      </c>
      <c r="H28" s="77">
        <v>46214</v>
      </c>
      <c r="I28" s="37" t="s">
        <v>25</v>
      </c>
      <c r="J28" s="36">
        <v>4</v>
      </c>
      <c r="K28" s="36" t="s">
        <v>165</v>
      </c>
      <c r="L28" s="62" t="s">
        <v>157</v>
      </c>
      <c r="M28" s="40">
        <v>1650</v>
      </c>
      <c r="N28" s="41"/>
      <c r="O28" s="55"/>
    </row>
    <row r="29" spans="1:15" ht="22" customHeight="1">
      <c r="A29" s="36">
        <v>20</v>
      </c>
      <c r="B29" s="37" t="s">
        <v>39</v>
      </c>
      <c r="C29" s="49" t="s">
        <v>48</v>
      </c>
      <c r="D29" s="46" t="s">
        <v>49</v>
      </c>
      <c r="E29" s="59" t="s">
        <v>50</v>
      </c>
      <c r="F29" s="37" t="s">
        <v>51</v>
      </c>
      <c r="G29" s="37" t="s">
        <v>6</v>
      </c>
      <c r="H29" s="77">
        <v>46218</v>
      </c>
      <c r="I29" s="37" t="s">
        <v>127</v>
      </c>
      <c r="J29" s="36">
        <v>8</v>
      </c>
      <c r="K29" s="36" t="s">
        <v>165</v>
      </c>
      <c r="L29" s="62" t="s">
        <v>157</v>
      </c>
      <c r="M29" s="40">
        <v>400</v>
      </c>
      <c r="N29" s="41"/>
      <c r="O29" s="55"/>
    </row>
    <row r="30" spans="1:15" ht="22" customHeight="1">
      <c r="A30" s="36">
        <v>21</v>
      </c>
      <c r="B30" s="37" t="s">
        <v>12</v>
      </c>
      <c r="C30" s="49" t="s">
        <v>92</v>
      </c>
      <c r="D30" s="46" t="s">
        <v>11</v>
      </c>
      <c r="E30" s="59" t="s">
        <v>93</v>
      </c>
      <c r="F30" s="37" t="s">
        <v>94</v>
      </c>
      <c r="G30" s="37"/>
      <c r="H30" s="77">
        <v>46222</v>
      </c>
      <c r="I30" s="37" t="s">
        <v>13</v>
      </c>
      <c r="J30" s="36">
        <v>6</v>
      </c>
      <c r="K30" s="36" t="s">
        <v>188</v>
      </c>
      <c r="L30" s="52" t="s">
        <v>162</v>
      </c>
      <c r="M30" s="40">
        <v>5900</v>
      </c>
      <c r="N30" s="41"/>
      <c r="O30" s="38" t="s">
        <v>75</v>
      </c>
    </row>
    <row r="31" spans="1:15" ht="22" customHeight="1">
      <c r="A31" s="36">
        <v>22</v>
      </c>
      <c r="B31" s="37" t="s">
        <v>2</v>
      </c>
      <c r="C31" s="49" t="s">
        <v>92</v>
      </c>
      <c r="D31" s="46" t="s">
        <v>11</v>
      </c>
      <c r="E31" s="59" t="s">
        <v>95</v>
      </c>
      <c r="F31" s="37" t="s">
        <v>96</v>
      </c>
      <c r="G31" s="37" t="s">
        <v>75</v>
      </c>
      <c r="H31" s="77">
        <v>46223</v>
      </c>
      <c r="I31" s="37" t="s">
        <v>13</v>
      </c>
      <c r="J31" s="36">
        <v>6</v>
      </c>
      <c r="K31" s="36" t="s">
        <v>188</v>
      </c>
      <c r="L31" s="62" t="s">
        <v>157</v>
      </c>
      <c r="M31" s="40">
        <v>2900</v>
      </c>
      <c r="N31" s="41"/>
      <c r="O31" s="38" t="s">
        <v>75</v>
      </c>
    </row>
    <row r="32" spans="1:15" ht="22" customHeight="1">
      <c r="A32" s="36">
        <v>23</v>
      </c>
      <c r="B32" s="37" t="s">
        <v>97</v>
      </c>
      <c r="C32" s="49" t="s">
        <v>205</v>
      </c>
      <c r="D32" s="46" t="s">
        <v>202</v>
      </c>
      <c r="E32" s="59" t="s">
        <v>203</v>
      </c>
      <c r="F32" s="37" t="s">
        <v>206</v>
      </c>
      <c r="G32" s="37"/>
      <c r="H32" s="39">
        <v>46352</v>
      </c>
      <c r="I32" s="37" t="s">
        <v>207</v>
      </c>
      <c r="J32" s="36">
        <v>6</v>
      </c>
      <c r="K32" s="36" t="s">
        <v>188</v>
      </c>
      <c r="L32" s="38" t="s">
        <v>75</v>
      </c>
      <c r="M32" s="40">
        <v>96000</v>
      </c>
      <c r="N32" s="41"/>
      <c r="O32" s="38"/>
    </row>
    <row r="33" spans="1:16" ht="22" customHeight="1">
      <c r="A33" s="36">
        <v>24</v>
      </c>
      <c r="B33" s="37" t="s">
        <v>97</v>
      </c>
      <c r="C33" s="49" t="s">
        <v>200</v>
      </c>
      <c r="D33" s="46" t="s">
        <v>202</v>
      </c>
      <c r="E33" s="59" t="s">
        <v>201</v>
      </c>
      <c r="F33" s="37" t="s">
        <v>204</v>
      </c>
      <c r="H33" s="39">
        <v>46352</v>
      </c>
      <c r="I33" s="37" t="s">
        <v>207</v>
      </c>
      <c r="J33" s="36">
        <v>6</v>
      </c>
      <c r="K33" s="36" t="s">
        <v>188</v>
      </c>
      <c r="L33" s="38" t="s">
        <v>75</v>
      </c>
      <c r="M33" s="40"/>
      <c r="N33" s="41"/>
      <c r="O33" s="38"/>
    </row>
    <row r="34" spans="1:16" ht="22" customHeight="1">
      <c r="A34" s="36">
        <v>25</v>
      </c>
      <c r="B34" s="37" t="s">
        <v>12</v>
      </c>
      <c r="C34" s="49" t="s">
        <v>52</v>
      </c>
      <c r="D34" s="46" t="s">
        <v>11</v>
      </c>
      <c r="E34" s="59" t="s">
        <v>53</v>
      </c>
      <c r="F34" s="37" t="s">
        <v>54</v>
      </c>
      <c r="G34" s="37" t="s">
        <v>75</v>
      </c>
      <c r="H34" s="39">
        <v>46279</v>
      </c>
      <c r="I34" s="37" t="s">
        <v>13</v>
      </c>
      <c r="J34" s="36">
        <v>6</v>
      </c>
      <c r="K34" s="36" t="s">
        <v>165</v>
      </c>
      <c r="L34" s="62" t="s">
        <v>157</v>
      </c>
      <c r="M34" s="40"/>
      <c r="N34" s="41"/>
      <c r="O34" s="38" t="s">
        <v>75</v>
      </c>
    </row>
    <row r="35" spans="1:16" ht="22" customHeight="1">
      <c r="A35" s="36">
        <v>26</v>
      </c>
      <c r="B35" s="37" t="s">
        <v>12</v>
      </c>
      <c r="C35" s="49" t="s">
        <v>193</v>
      </c>
      <c r="D35" s="46" t="s">
        <v>11</v>
      </c>
      <c r="E35" s="59" t="s">
        <v>194</v>
      </c>
      <c r="F35" s="37" t="s">
        <v>195</v>
      </c>
      <c r="G35" s="37" t="s">
        <v>6</v>
      </c>
      <c r="H35" s="39">
        <v>46648</v>
      </c>
      <c r="I35" s="37" t="s">
        <v>13</v>
      </c>
      <c r="J35" s="36">
        <v>6</v>
      </c>
      <c r="K35" s="36" t="s">
        <v>165</v>
      </c>
      <c r="L35" s="62" t="s">
        <v>157</v>
      </c>
      <c r="M35" s="40"/>
      <c r="N35" s="41"/>
      <c r="O35" s="38"/>
    </row>
    <row r="36" spans="1:16" ht="22" customHeight="1">
      <c r="A36" s="36">
        <v>27</v>
      </c>
      <c r="B36" s="37" t="s">
        <v>12</v>
      </c>
      <c r="C36" s="49" t="s">
        <v>193</v>
      </c>
      <c r="D36" s="46" t="s">
        <v>11</v>
      </c>
      <c r="E36" s="59" t="s">
        <v>196</v>
      </c>
      <c r="F36" s="37" t="s">
        <v>198</v>
      </c>
      <c r="G36" s="37" t="s">
        <v>6</v>
      </c>
      <c r="H36" s="39">
        <v>46648</v>
      </c>
      <c r="I36" s="37" t="s">
        <v>13</v>
      </c>
      <c r="J36" s="36">
        <v>6</v>
      </c>
      <c r="K36" s="36" t="s">
        <v>165</v>
      </c>
      <c r="L36" s="62" t="s">
        <v>157</v>
      </c>
      <c r="M36" s="40"/>
      <c r="N36" s="41"/>
      <c r="O36" s="38"/>
      <c r="P36" s="76"/>
    </row>
    <row r="37" spans="1:16" ht="22" customHeight="1">
      <c r="A37" s="36">
        <v>28</v>
      </c>
      <c r="B37" s="37" t="s">
        <v>12</v>
      </c>
      <c r="C37" s="49" t="s">
        <v>193</v>
      </c>
      <c r="D37" s="46" t="s">
        <v>11</v>
      </c>
      <c r="E37" s="59" t="s">
        <v>197</v>
      </c>
      <c r="F37" s="37" t="s">
        <v>199</v>
      </c>
      <c r="G37" s="37" t="s">
        <v>6</v>
      </c>
      <c r="H37" s="39">
        <v>46648</v>
      </c>
      <c r="I37" s="37" t="s">
        <v>13</v>
      </c>
      <c r="J37" s="36">
        <v>6</v>
      </c>
      <c r="K37" s="36" t="s">
        <v>165</v>
      </c>
      <c r="L37" s="62" t="s">
        <v>157</v>
      </c>
      <c r="M37" s="40"/>
      <c r="N37" s="41"/>
      <c r="O37" s="38"/>
      <c r="P37" s="76"/>
    </row>
    <row r="38" spans="1:16" s="54" customFormat="1" ht="22" customHeight="1">
      <c r="A38" s="36">
        <v>39</v>
      </c>
      <c r="B38" s="37" t="s">
        <v>12</v>
      </c>
      <c r="C38" s="53" t="s">
        <v>140</v>
      </c>
      <c r="D38" s="46" t="s">
        <v>129</v>
      </c>
      <c r="E38" s="60" t="s">
        <v>141</v>
      </c>
      <c r="F38" s="37" t="s">
        <v>142</v>
      </c>
      <c r="G38" s="37"/>
      <c r="H38" s="39">
        <v>46276</v>
      </c>
      <c r="I38" s="37" t="s">
        <v>13</v>
      </c>
      <c r="J38" s="52">
        <v>6</v>
      </c>
      <c r="K38" s="36" t="s">
        <v>165</v>
      </c>
      <c r="L38" s="62" t="s">
        <v>157</v>
      </c>
      <c r="M38" s="56">
        <v>3550</v>
      </c>
      <c r="N38" s="41"/>
      <c r="O38" s="41"/>
    </row>
    <row r="39" spans="1:16" ht="22" customHeight="1">
      <c r="A39" s="36">
        <v>29</v>
      </c>
      <c r="B39" s="37" t="s">
        <v>35</v>
      </c>
      <c r="C39" s="49" t="s">
        <v>113</v>
      </c>
      <c r="D39" s="46" t="s">
        <v>11</v>
      </c>
      <c r="E39" s="59" t="s">
        <v>114</v>
      </c>
      <c r="F39" s="37" t="s">
        <v>115</v>
      </c>
      <c r="G39" s="37"/>
      <c r="H39" s="39">
        <v>46301</v>
      </c>
      <c r="I39" s="37" t="s">
        <v>124</v>
      </c>
      <c r="J39" s="36">
        <v>4</v>
      </c>
      <c r="K39" s="36" t="s">
        <v>165</v>
      </c>
      <c r="L39" s="62" t="s">
        <v>157</v>
      </c>
      <c r="M39" s="40"/>
      <c r="N39" s="41"/>
      <c r="O39" s="55"/>
    </row>
    <row r="40" spans="1:16" ht="22" customHeight="1">
      <c r="A40" s="36">
        <v>46</v>
      </c>
      <c r="B40" s="37" t="s">
        <v>190</v>
      </c>
      <c r="C40" s="49" t="s">
        <v>55</v>
      </c>
      <c r="D40" s="46" t="s">
        <v>49</v>
      </c>
      <c r="E40" s="60" t="s">
        <v>192</v>
      </c>
      <c r="F40" s="37" t="s">
        <v>191</v>
      </c>
      <c r="G40" s="37"/>
      <c r="H40" s="39">
        <v>46318</v>
      </c>
      <c r="I40" s="37" t="s">
        <v>13</v>
      </c>
      <c r="J40" s="52">
        <v>6</v>
      </c>
      <c r="K40" s="37" t="s">
        <v>188</v>
      </c>
      <c r="L40" s="37" t="s">
        <v>75</v>
      </c>
      <c r="M40" s="56"/>
      <c r="N40" s="41"/>
      <c r="O40" s="41"/>
      <c r="P40" s="76"/>
    </row>
    <row r="41" spans="1:16" ht="22" customHeight="1">
      <c r="A41" s="36">
        <v>30</v>
      </c>
      <c r="B41" s="37" t="s">
        <v>39</v>
      </c>
      <c r="C41" s="49" t="s">
        <v>59</v>
      </c>
      <c r="D41" s="46" t="s">
        <v>11</v>
      </c>
      <c r="E41" s="59" t="s">
        <v>60</v>
      </c>
      <c r="F41" s="37" t="s">
        <v>61</v>
      </c>
      <c r="G41" s="37" t="s">
        <v>6</v>
      </c>
      <c r="H41" s="39">
        <v>46336</v>
      </c>
      <c r="I41" s="37" t="s">
        <v>13</v>
      </c>
      <c r="J41" s="36">
        <v>6</v>
      </c>
      <c r="K41" s="36" t="s">
        <v>165</v>
      </c>
      <c r="L41" s="62" t="s">
        <v>157</v>
      </c>
      <c r="M41" s="40">
        <v>1450</v>
      </c>
      <c r="N41" s="41"/>
      <c r="O41" s="38" t="s">
        <v>75</v>
      </c>
    </row>
    <row r="42" spans="1:16" ht="22" customHeight="1">
      <c r="A42" s="36">
        <v>31</v>
      </c>
      <c r="B42" s="37" t="s">
        <v>39</v>
      </c>
      <c r="C42" s="49" t="s">
        <v>56</v>
      </c>
      <c r="D42" s="46" t="s">
        <v>11</v>
      </c>
      <c r="E42" s="59" t="s">
        <v>57</v>
      </c>
      <c r="F42" s="37" t="s">
        <v>58</v>
      </c>
      <c r="G42" s="37" t="s">
        <v>6</v>
      </c>
      <c r="H42" s="39">
        <v>46339</v>
      </c>
      <c r="I42" s="37" t="s">
        <v>126</v>
      </c>
      <c r="J42" s="36">
        <v>10</v>
      </c>
      <c r="K42" s="36" t="s">
        <v>165</v>
      </c>
      <c r="L42" s="62" t="s">
        <v>157</v>
      </c>
      <c r="M42" s="40">
        <v>4300</v>
      </c>
      <c r="N42" s="41"/>
      <c r="O42" s="38" t="s">
        <v>75</v>
      </c>
    </row>
    <row r="43" spans="1:16" ht="22" customHeight="1">
      <c r="A43" s="36">
        <v>32</v>
      </c>
      <c r="B43" s="37" t="s">
        <v>12</v>
      </c>
      <c r="C43" s="49" t="s">
        <v>62</v>
      </c>
      <c r="D43" s="46" t="s">
        <v>11</v>
      </c>
      <c r="E43" s="59" t="s">
        <v>63</v>
      </c>
      <c r="F43" s="37" t="s">
        <v>64</v>
      </c>
      <c r="G43" s="37" t="s">
        <v>6</v>
      </c>
      <c r="H43" s="39">
        <v>46045</v>
      </c>
      <c r="I43" s="37" t="s">
        <v>13</v>
      </c>
      <c r="J43" s="36">
        <v>6</v>
      </c>
      <c r="K43" s="36" t="s">
        <v>165</v>
      </c>
      <c r="L43" s="62" t="s">
        <v>157</v>
      </c>
      <c r="M43" s="40">
        <v>3750</v>
      </c>
      <c r="N43" s="41"/>
      <c r="O43" s="38" t="s">
        <v>75</v>
      </c>
    </row>
    <row r="44" spans="1:16" ht="22" customHeight="1">
      <c r="A44" s="36">
        <v>33</v>
      </c>
      <c r="B44" s="37" t="s">
        <v>12</v>
      </c>
      <c r="C44" s="49" t="s">
        <v>104</v>
      </c>
      <c r="D44" s="46" t="s">
        <v>11</v>
      </c>
      <c r="E44" s="59" t="s">
        <v>105</v>
      </c>
      <c r="F44" s="37" t="s">
        <v>106</v>
      </c>
      <c r="G44" s="37"/>
      <c r="H44" s="39">
        <v>46343</v>
      </c>
      <c r="I44" s="37" t="s">
        <v>13</v>
      </c>
      <c r="J44" s="36">
        <v>6</v>
      </c>
      <c r="K44" s="36" t="s">
        <v>165</v>
      </c>
      <c r="L44" s="62" t="s">
        <v>157</v>
      </c>
      <c r="M44" s="40">
        <v>1300</v>
      </c>
      <c r="N44" s="41"/>
      <c r="O44" s="55"/>
    </row>
    <row r="45" spans="1:16" ht="22" customHeight="1">
      <c r="A45" s="36">
        <v>34</v>
      </c>
      <c r="B45" s="37" t="s">
        <v>12</v>
      </c>
      <c r="C45" s="49" t="s">
        <v>56</v>
      </c>
      <c r="D45" s="46" t="s">
        <v>11</v>
      </c>
      <c r="E45" s="59" t="s">
        <v>65</v>
      </c>
      <c r="F45" s="37" t="s">
        <v>66</v>
      </c>
      <c r="G45" s="37" t="s">
        <v>75</v>
      </c>
      <c r="H45" s="39">
        <v>46351</v>
      </c>
      <c r="I45" s="37" t="s">
        <v>13</v>
      </c>
      <c r="J45" s="36">
        <v>6</v>
      </c>
      <c r="K45" s="36" t="s">
        <v>165</v>
      </c>
      <c r="L45" s="62" t="s">
        <v>157</v>
      </c>
      <c r="M45" s="40">
        <v>3000</v>
      </c>
      <c r="N45" s="41"/>
      <c r="O45" s="38" t="s">
        <v>75</v>
      </c>
    </row>
    <row r="46" spans="1:16" ht="22" customHeight="1">
      <c r="A46" s="36">
        <v>35</v>
      </c>
      <c r="B46" s="37" t="s">
        <v>12</v>
      </c>
      <c r="C46" s="49" t="s">
        <v>56</v>
      </c>
      <c r="D46" s="46" t="s">
        <v>11</v>
      </c>
      <c r="E46" s="59" t="s">
        <v>67</v>
      </c>
      <c r="F46" s="37" t="s">
        <v>68</v>
      </c>
      <c r="G46" s="37" t="s">
        <v>75</v>
      </c>
      <c r="H46" s="39">
        <v>45988</v>
      </c>
      <c r="I46" s="37" t="s">
        <v>13</v>
      </c>
      <c r="J46" s="36">
        <v>6</v>
      </c>
      <c r="K46" s="36" t="s">
        <v>165</v>
      </c>
      <c r="L46" s="62" t="s">
        <v>157</v>
      </c>
      <c r="M46" s="40">
        <v>6800</v>
      </c>
      <c r="N46" s="41"/>
      <c r="O46" s="38" t="s">
        <v>75</v>
      </c>
    </row>
    <row r="47" spans="1:16" ht="22" customHeight="1">
      <c r="A47" s="36">
        <v>36</v>
      </c>
      <c r="B47" s="37" t="s">
        <v>12</v>
      </c>
      <c r="C47" s="49" t="s">
        <v>56</v>
      </c>
      <c r="D47" s="46" t="s">
        <v>11</v>
      </c>
      <c r="E47" s="59" t="s">
        <v>69</v>
      </c>
      <c r="F47" s="37" t="s">
        <v>70</v>
      </c>
      <c r="G47" s="37" t="s">
        <v>75</v>
      </c>
      <c r="H47" s="39">
        <v>45989</v>
      </c>
      <c r="I47" s="37" t="s">
        <v>13</v>
      </c>
      <c r="J47" s="36">
        <v>6</v>
      </c>
      <c r="K47" s="36" t="s">
        <v>165</v>
      </c>
      <c r="L47" s="62" t="s">
        <v>157</v>
      </c>
      <c r="M47" s="40">
        <v>2700</v>
      </c>
      <c r="N47" s="41"/>
      <c r="O47" s="38" t="s">
        <v>75</v>
      </c>
    </row>
    <row r="48" spans="1:16" ht="22" customHeight="1">
      <c r="A48" s="36">
        <v>37</v>
      </c>
      <c r="B48" s="37" t="s">
        <v>12</v>
      </c>
      <c r="C48" s="49" t="s">
        <v>128</v>
      </c>
      <c r="D48" s="46" t="s">
        <v>129</v>
      </c>
      <c r="E48" s="59" t="s">
        <v>130</v>
      </c>
      <c r="F48" s="37" t="s">
        <v>131</v>
      </c>
      <c r="G48" s="37"/>
      <c r="H48" s="39">
        <v>46008</v>
      </c>
      <c r="I48" s="37" t="s">
        <v>13</v>
      </c>
      <c r="J48" s="36">
        <v>6</v>
      </c>
      <c r="K48" s="37" t="s">
        <v>188</v>
      </c>
      <c r="L48" s="52" t="s">
        <v>162</v>
      </c>
      <c r="M48" s="40">
        <v>3550</v>
      </c>
      <c r="N48" s="41"/>
      <c r="O48" s="38" t="s">
        <v>75</v>
      </c>
    </row>
    <row r="49" spans="1:15" ht="22" customHeight="1">
      <c r="A49" s="36">
        <v>38</v>
      </c>
      <c r="B49" s="37" t="s">
        <v>2</v>
      </c>
      <c r="C49" s="49" t="s">
        <v>132</v>
      </c>
      <c r="D49" s="46" t="s">
        <v>129</v>
      </c>
      <c r="E49" s="59" t="s">
        <v>133</v>
      </c>
      <c r="F49" s="37" t="s">
        <v>134</v>
      </c>
      <c r="G49" s="37"/>
      <c r="H49" s="39">
        <v>45980</v>
      </c>
      <c r="I49" s="37" t="s">
        <v>125</v>
      </c>
      <c r="J49" s="36">
        <v>12</v>
      </c>
      <c r="K49" s="36" t="s">
        <v>165</v>
      </c>
      <c r="L49" s="62" t="s">
        <v>157</v>
      </c>
      <c r="M49" s="40">
        <v>3600</v>
      </c>
      <c r="N49" s="41"/>
      <c r="O49" s="38" t="s">
        <v>75</v>
      </c>
    </row>
    <row r="50" spans="1:15" ht="22" customHeight="1">
      <c r="A50" s="36">
        <v>41</v>
      </c>
      <c r="B50" s="37" t="s">
        <v>2</v>
      </c>
      <c r="C50" s="49" t="s">
        <v>113</v>
      </c>
      <c r="D50" s="46" t="s">
        <v>147</v>
      </c>
      <c r="E50" s="60" t="s">
        <v>148</v>
      </c>
      <c r="F50" s="37" t="s">
        <v>149</v>
      </c>
      <c r="G50" s="37"/>
      <c r="H50" s="39">
        <v>46129</v>
      </c>
      <c r="I50" s="37" t="s">
        <v>13</v>
      </c>
      <c r="J50" s="52">
        <v>6</v>
      </c>
      <c r="K50" s="36" t="s">
        <v>165</v>
      </c>
      <c r="L50" s="62" t="s">
        <v>157</v>
      </c>
      <c r="M50" s="56"/>
      <c r="N50" s="41"/>
      <c r="O50" s="41"/>
    </row>
    <row r="51" spans="1:15" ht="22" customHeight="1">
      <c r="A51" s="36">
        <v>42</v>
      </c>
      <c r="B51" s="37" t="s">
        <v>21</v>
      </c>
      <c r="C51" s="49" t="s">
        <v>150</v>
      </c>
      <c r="D51" s="46" t="s">
        <v>11</v>
      </c>
      <c r="E51" s="60" t="s">
        <v>151</v>
      </c>
      <c r="F51" s="37" t="s">
        <v>152</v>
      </c>
      <c r="G51" s="37"/>
      <c r="H51" s="39">
        <v>46346</v>
      </c>
      <c r="I51" s="37" t="s">
        <v>25</v>
      </c>
      <c r="J51" s="52">
        <v>4</v>
      </c>
      <c r="K51" s="36" t="s">
        <v>165</v>
      </c>
      <c r="L51" s="62" t="s">
        <v>157</v>
      </c>
      <c r="M51" s="56"/>
      <c r="N51" s="41"/>
      <c r="O51" s="41"/>
    </row>
    <row r="52" spans="1:15" ht="22" customHeight="1">
      <c r="A52" s="36">
        <v>43</v>
      </c>
      <c r="B52" s="37" t="s">
        <v>97</v>
      </c>
      <c r="C52" s="49" t="s">
        <v>154</v>
      </c>
      <c r="D52" s="46" t="s">
        <v>11</v>
      </c>
      <c r="E52" s="60" t="s">
        <v>155</v>
      </c>
      <c r="F52" s="37" t="s">
        <v>156</v>
      </c>
      <c r="H52" s="39">
        <v>46047</v>
      </c>
      <c r="I52" s="37" t="s">
        <v>25</v>
      </c>
      <c r="J52" s="52">
        <v>4</v>
      </c>
      <c r="K52" s="37" t="s">
        <v>188</v>
      </c>
      <c r="L52" s="37" t="s">
        <v>75</v>
      </c>
      <c r="M52" s="56"/>
      <c r="N52" s="41"/>
      <c r="O52" s="41"/>
    </row>
    <row r="53" spans="1:15" ht="22" customHeight="1">
      <c r="A53" s="36">
        <v>44</v>
      </c>
      <c r="B53" s="37" t="s">
        <v>2</v>
      </c>
      <c r="C53" s="49" t="s">
        <v>210</v>
      </c>
      <c r="D53" s="46" t="s">
        <v>11</v>
      </c>
      <c r="E53" s="60" t="s">
        <v>208</v>
      </c>
      <c r="F53" s="37" t="s">
        <v>209</v>
      </c>
      <c r="G53" s="37"/>
      <c r="H53" s="39">
        <v>46463</v>
      </c>
      <c r="I53" s="37" t="s">
        <v>211</v>
      </c>
      <c r="J53" s="52">
        <v>6</v>
      </c>
      <c r="K53" s="37" t="s">
        <v>188</v>
      </c>
      <c r="L53" s="62" t="s">
        <v>157</v>
      </c>
      <c r="M53" s="56"/>
      <c r="N53" s="41"/>
      <c r="O53" s="41"/>
    </row>
    <row r="54" spans="1:15" ht="22" customHeight="1">
      <c r="A54" s="36">
        <v>45</v>
      </c>
      <c r="B54" s="37" t="s">
        <v>158</v>
      </c>
      <c r="C54" s="49" t="s">
        <v>159</v>
      </c>
      <c r="D54" s="46" t="s">
        <v>11</v>
      </c>
      <c r="E54" s="60" t="s">
        <v>160</v>
      </c>
      <c r="F54" s="37" t="s">
        <v>161</v>
      </c>
      <c r="G54" s="37"/>
      <c r="H54" s="39">
        <v>46494</v>
      </c>
      <c r="I54" s="37" t="s">
        <v>13</v>
      </c>
      <c r="J54" s="52">
        <v>6</v>
      </c>
      <c r="K54" s="36" t="s">
        <v>165</v>
      </c>
      <c r="L54" s="52" t="s">
        <v>162</v>
      </c>
      <c r="M54" s="56"/>
      <c r="N54" s="41"/>
      <c r="O54" s="41"/>
    </row>
    <row r="55" spans="1:15" ht="17" customHeight="1"/>
    <row r="56" spans="1:15" ht="17" customHeight="1">
      <c r="K56" s="78" t="s">
        <v>214</v>
      </c>
      <c r="M56" s="79" t="s">
        <v>179</v>
      </c>
      <c r="N56" s="79"/>
      <c r="O56" s="79"/>
    </row>
    <row r="57" spans="1:15">
      <c r="K57" s="78" t="s">
        <v>213</v>
      </c>
    </row>
    <row r="58" spans="1:15">
      <c r="K58" s="78" t="s">
        <v>212</v>
      </c>
    </row>
  </sheetData>
  <autoFilter ref="A7:L54" xr:uid="{5867CA72-A3C6-8444-85EE-E2951DC0D398}">
    <filterColumn colId="3" showButton="0"/>
    <sortState xmlns:xlrd2="http://schemas.microsoft.com/office/spreadsheetml/2017/richdata2" ref="A8:L48">
      <sortCondition ref="H7:H43"/>
    </sortState>
  </autoFilter>
  <mergeCells count="5">
    <mergeCell ref="M56:O56"/>
    <mergeCell ref="M1:N1"/>
    <mergeCell ref="M5:O5"/>
    <mergeCell ref="D7:E7"/>
    <mergeCell ref="A3:N4"/>
  </mergeCells>
  <phoneticPr fontId="1"/>
  <pageMargins left="0.25" right="0.25" top="0.75" bottom="0.75" header="0.3" footer="0.3"/>
  <pageSetup paperSize="9" scale="53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0332-7D88-B248-88A6-FB29C48B7384}">
  <sheetPr>
    <pageSetUpPr fitToPage="1"/>
  </sheetPr>
  <dimension ref="A1:L52"/>
  <sheetViews>
    <sheetView workbookViewId="0">
      <selection activeCell="D27" sqref="D27"/>
    </sheetView>
  </sheetViews>
  <sheetFormatPr baseColWidth="10" defaultColWidth="8.83203125" defaultRowHeight="14"/>
  <cols>
    <col min="1" max="1" width="3.6640625" style="2" customWidth="1"/>
    <col min="2" max="2" width="9" style="2" customWidth="1"/>
    <col min="3" max="3" width="11.6640625" style="3" customWidth="1"/>
    <col min="4" max="4" width="10.5" style="20" customWidth="1"/>
    <col min="5" max="5" width="12.1640625" style="22" customWidth="1"/>
    <col min="6" max="6" width="20.6640625" style="2" customWidth="1"/>
    <col min="7" max="8" width="18.5" style="2" customWidth="1"/>
    <col min="9" max="9" width="14.1640625" style="2" customWidth="1"/>
    <col min="10" max="10" width="21.6640625" bestFit="1" customWidth="1"/>
    <col min="11" max="11" width="7.5" customWidth="1"/>
  </cols>
  <sheetData>
    <row r="1" spans="1:12" ht="34" customHeight="1">
      <c r="A1" s="4"/>
      <c r="B1" s="4"/>
      <c r="C1" s="5"/>
      <c r="D1" s="18"/>
      <c r="E1" s="16"/>
      <c r="I1" s="6" t="s">
        <v>3</v>
      </c>
      <c r="J1" s="45">
        <f ca="1">TODAY()</f>
        <v>46126</v>
      </c>
      <c r="K1" s="44"/>
    </row>
    <row r="2" spans="1:12">
      <c r="A2" s="4"/>
      <c r="B2" s="4"/>
      <c r="C2" s="5"/>
      <c r="D2" s="18"/>
      <c r="E2" s="16"/>
      <c r="F2" s="6"/>
      <c r="G2" s="7"/>
      <c r="H2" s="7"/>
      <c r="I2" s="7"/>
      <c r="L2" s="1"/>
    </row>
    <row r="3" spans="1:12" ht="14" customHeight="1">
      <c r="A3" s="87" t="s">
        <v>5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spans="1:12" ht="14" customHeight="1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</row>
    <row r="5" spans="1:12" ht="16" thickBot="1">
      <c r="A5" s="8"/>
      <c r="B5" s="8"/>
      <c r="C5" s="8"/>
      <c r="D5" s="19"/>
      <c r="E5" s="21"/>
      <c r="F5" s="81" t="s">
        <v>4</v>
      </c>
      <c r="G5" s="81"/>
      <c r="H5" s="81"/>
      <c r="I5" s="81"/>
    </row>
    <row r="6" spans="1:12" s="1" customFormat="1" ht="22" customHeight="1" thickBot="1">
      <c r="A6" s="8"/>
      <c r="B6" s="8"/>
      <c r="C6" s="8"/>
      <c r="D6" s="19"/>
      <c r="E6" s="21"/>
      <c r="F6" s="23"/>
      <c r="G6" s="23"/>
      <c r="H6" s="23"/>
      <c r="I6" s="23"/>
    </row>
    <row r="7" spans="1:12" ht="18" customHeight="1" thickBot="1">
      <c r="A7" s="9" t="s">
        <v>7</v>
      </c>
      <c r="B7" s="9" t="s">
        <v>0</v>
      </c>
      <c r="C7" s="10" t="s">
        <v>10</v>
      </c>
      <c r="D7" s="85" t="s">
        <v>9</v>
      </c>
      <c r="E7" s="86"/>
      <c r="F7" s="11" t="s">
        <v>8</v>
      </c>
      <c r="G7" s="11" t="s">
        <v>144</v>
      </c>
      <c r="H7" s="24" t="s">
        <v>169</v>
      </c>
      <c r="I7" s="24" t="s">
        <v>30</v>
      </c>
      <c r="J7" s="12" t="s">
        <v>1</v>
      </c>
      <c r="K7" s="12" t="s">
        <v>76</v>
      </c>
    </row>
    <row r="8" spans="1:12" ht="18" customHeight="1">
      <c r="A8" s="13">
        <v>1</v>
      </c>
      <c r="B8" s="13" t="s">
        <v>77</v>
      </c>
      <c r="C8" s="65" t="s">
        <v>40</v>
      </c>
      <c r="D8" s="66" t="s">
        <v>11</v>
      </c>
      <c r="E8" s="71" t="s">
        <v>85</v>
      </c>
      <c r="F8" s="13" t="s">
        <v>86</v>
      </c>
      <c r="G8" s="15" t="s">
        <v>6</v>
      </c>
      <c r="H8" s="75" t="s">
        <v>188</v>
      </c>
      <c r="I8" s="25">
        <v>46088</v>
      </c>
      <c r="J8" s="13" t="s">
        <v>84</v>
      </c>
      <c r="K8" s="26" t="s">
        <v>75</v>
      </c>
    </row>
    <row r="9" spans="1:12" ht="18" customHeight="1">
      <c r="A9" s="13">
        <v>2</v>
      </c>
      <c r="B9" s="13" t="s">
        <v>77</v>
      </c>
      <c r="C9" s="68" t="s">
        <v>18</v>
      </c>
      <c r="D9" s="69" t="s">
        <v>11</v>
      </c>
      <c r="E9" s="70" t="s">
        <v>78</v>
      </c>
      <c r="F9" s="13" t="s">
        <v>79</v>
      </c>
      <c r="G9" s="15" t="s">
        <v>6</v>
      </c>
      <c r="H9" s="75" t="s">
        <v>188</v>
      </c>
      <c r="I9" s="25">
        <v>46101</v>
      </c>
      <c r="J9" s="13" t="s">
        <v>84</v>
      </c>
      <c r="K9" s="26" t="s">
        <v>75</v>
      </c>
    </row>
    <row r="10" spans="1:12" ht="18" customHeight="1">
      <c r="A10" s="13">
        <v>3</v>
      </c>
      <c r="B10" s="13" t="s">
        <v>21</v>
      </c>
      <c r="C10" s="68" t="s">
        <v>80</v>
      </c>
      <c r="D10" s="69" t="s">
        <v>11</v>
      </c>
      <c r="E10" s="70" t="s">
        <v>90</v>
      </c>
      <c r="F10" s="13" t="s">
        <v>91</v>
      </c>
      <c r="G10" s="15" t="s">
        <v>6</v>
      </c>
      <c r="H10" s="75" t="s">
        <v>188</v>
      </c>
      <c r="I10" s="25">
        <v>46196</v>
      </c>
      <c r="J10" s="13" t="s">
        <v>71</v>
      </c>
      <c r="K10" s="26" t="s">
        <v>75</v>
      </c>
    </row>
    <row r="11" spans="1:12" ht="18" customHeight="1">
      <c r="A11" s="13">
        <v>4</v>
      </c>
      <c r="B11" s="13" t="s">
        <v>34</v>
      </c>
      <c r="C11" s="68" t="s">
        <v>89</v>
      </c>
      <c r="D11" s="69" t="s">
        <v>11</v>
      </c>
      <c r="E11" s="70" t="s">
        <v>87</v>
      </c>
      <c r="F11" s="13" t="s">
        <v>88</v>
      </c>
      <c r="G11" s="15" t="s">
        <v>6</v>
      </c>
      <c r="H11" s="75" t="s">
        <v>188</v>
      </c>
      <c r="I11" s="25">
        <v>46318</v>
      </c>
      <c r="J11" s="13" t="s">
        <v>84</v>
      </c>
      <c r="K11" s="26" t="s">
        <v>75</v>
      </c>
    </row>
    <row r="12" spans="1:12" ht="18" customHeight="1">
      <c r="A12" s="13">
        <v>5</v>
      </c>
      <c r="B12" s="13" t="s">
        <v>35</v>
      </c>
      <c r="C12" s="68" t="s">
        <v>81</v>
      </c>
      <c r="D12" s="69" t="s">
        <v>11</v>
      </c>
      <c r="E12" s="70" t="s">
        <v>82</v>
      </c>
      <c r="F12" s="13" t="s">
        <v>83</v>
      </c>
      <c r="G12" s="15" t="s">
        <v>6</v>
      </c>
      <c r="H12" s="75" t="s">
        <v>188</v>
      </c>
      <c r="I12" s="25">
        <v>46440</v>
      </c>
      <c r="J12" s="13" t="s">
        <v>84</v>
      </c>
      <c r="K12" s="26" t="s">
        <v>75</v>
      </c>
    </row>
    <row r="13" spans="1:12" ht="18" customHeight="1">
      <c r="A13" s="13">
        <v>6</v>
      </c>
      <c r="B13" s="13" t="s">
        <v>35</v>
      </c>
      <c r="C13" s="68" t="s">
        <v>170</v>
      </c>
      <c r="D13" s="69" t="s">
        <v>11</v>
      </c>
      <c r="E13" s="70" t="s">
        <v>171</v>
      </c>
      <c r="F13" s="13" t="s">
        <v>172</v>
      </c>
      <c r="G13" s="15" t="s">
        <v>6</v>
      </c>
      <c r="H13" s="75" t="s">
        <v>188</v>
      </c>
      <c r="I13" s="25">
        <v>46179</v>
      </c>
      <c r="J13" s="13" t="s">
        <v>71</v>
      </c>
      <c r="K13" s="26" t="s">
        <v>75</v>
      </c>
    </row>
    <row r="14" spans="1:12" ht="18" customHeight="1">
      <c r="A14" s="13">
        <v>7</v>
      </c>
      <c r="B14" s="13" t="s">
        <v>21</v>
      </c>
      <c r="C14" s="68" t="s">
        <v>173</v>
      </c>
      <c r="D14" s="69" t="s">
        <v>11</v>
      </c>
      <c r="E14" s="70" t="s">
        <v>174</v>
      </c>
      <c r="F14" s="13" t="s">
        <v>175</v>
      </c>
      <c r="G14" s="15" t="s">
        <v>6</v>
      </c>
      <c r="H14" s="75" t="s">
        <v>188</v>
      </c>
      <c r="I14" s="25">
        <v>46263</v>
      </c>
      <c r="J14" s="13" t="s">
        <v>71</v>
      </c>
      <c r="K14" s="26" t="s">
        <v>75</v>
      </c>
    </row>
    <row r="15" spans="1:12" ht="18" customHeight="1">
      <c r="A15" s="13">
        <v>8</v>
      </c>
      <c r="B15" s="13" t="s">
        <v>21</v>
      </c>
      <c r="C15" s="68" t="s">
        <v>180</v>
      </c>
      <c r="D15" s="69" t="s">
        <v>176</v>
      </c>
      <c r="E15" s="70" t="s">
        <v>177</v>
      </c>
      <c r="F15" s="13" t="s">
        <v>181</v>
      </c>
      <c r="G15" s="15" t="s">
        <v>6</v>
      </c>
      <c r="H15" s="75" t="s">
        <v>188</v>
      </c>
      <c r="I15" s="25"/>
      <c r="J15" s="13" t="s">
        <v>71</v>
      </c>
      <c r="K15" s="26" t="s">
        <v>75</v>
      </c>
    </row>
    <row r="16" spans="1:12" ht="18" customHeight="1">
      <c r="A16" s="13">
        <v>9</v>
      </c>
      <c r="B16" s="13" t="s">
        <v>21</v>
      </c>
      <c r="C16" s="68" t="s">
        <v>182</v>
      </c>
      <c r="D16" s="69" t="s">
        <v>129</v>
      </c>
      <c r="E16" s="70" t="s">
        <v>178</v>
      </c>
      <c r="F16" s="13" t="s">
        <v>183</v>
      </c>
      <c r="G16" s="15" t="s">
        <v>6</v>
      </c>
      <c r="H16" s="75" t="s">
        <v>188</v>
      </c>
      <c r="I16" s="25"/>
      <c r="J16" s="13" t="s">
        <v>71</v>
      </c>
      <c r="K16" s="26" t="s">
        <v>75</v>
      </c>
    </row>
    <row r="17" spans="1:11" ht="18" customHeight="1">
      <c r="A17" s="13">
        <v>10</v>
      </c>
      <c r="B17" s="13"/>
      <c r="C17" s="14"/>
      <c r="D17" s="67"/>
      <c r="E17" s="17"/>
      <c r="F17" s="13"/>
      <c r="G17" s="15" t="s">
        <v>6</v>
      </c>
      <c r="H17" s="13"/>
      <c r="I17" s="25"/>
      <c r="J17" s="13" t="s">
        <v>71</v>
      </c>
      <c r="K17" s="26" t="s">
        <v>75</v>
      </c>
    </row>
    <row r="18" spans="1:11" ht="18" customHeight="1">
      <c r="A18"/>
      <c r="B18"/>
      <c r="C18"/>
      <c r="D18"/>
      <c r="E18"/>
      <c r="F18"/>
      <c r="G18"/>
      <c r="H18"/>
      <c r="I18"/>
    </row>
    <row r="19" spans="1:11" ht="18" customHeight="1">
      <c r="A19"/>
      <c r="B19"/>
      <c r="C19"/>
      <c r="D19"/>
      <c r="E19"/>
      <c r="F19"/>
      <c r="G19"/>
      <c r="H19"/>
      <c r="I19"/>
    </row>
    <row r="20" spans="1:11" ht="18" customHeight="1">
      <c r="A20"/>
      <c r="B20"/>
      <c r="C20"/>
      <c r="D20"/>
      <c r="E20"/>
      <c r="F20"/>
      <c r="G20"/>
      <c r="H20"/>
      <c r="I20"/>
    </row>
    <row r="21" spans="1:11" ht="18" customHeight="1">
      <c r="A21"/>
      <c r="B21"/>
      <c r="C21"/>
      <c r="D21"/>
      <c r="E21"/>
      <c r="F21"/>
      <c r="G21"/>
      <c r="H21"/>
      <c r="I21"/>
    </row>
    <row r="22" spans="1:11" ht="18" customHeight="1">
      <c r="A22"/>
      <c r="B22"/>
      <c r="C22"/>
      <c r="D22"/>
      <c r="E22"/>
      <c r="F22"/>
      <c r="G22"/>
      <c r="H22"/>
      <c r="I22"/>
    </row>
    <row r="23" spans="1:11" ht="18" customHeight="1">
      <c r="A23"/>
      <c r="B23"/>
      <c r="C23"/>
      <c r="D23"/>
      <c r="E23"/>
      <c r="F23"/>
      <c r="G23"/>
      <c r="H23"/>
      <c r="I23"/>
    </row>
    <row r="24" spans="1:11" ht="18" customHeight="1">
      <c r="A24"/>
      <c r="B24"/>
      <c r="C24"/>
      <c r="D24"/>
      <c r="E24"/>
      <c r="F24"/>
      <c r="G24"/>
      <c r="H24"/>
      <c r="I24"/>
    </row>
    <row r="25" spans="1:11" ht="18" customHeight="1">
      <c r="A25"/>
      <c r="B25"/>
      <c r="C25"/>
      <c r="D25"/>
      <c r="E25"/>
      <c r="F25"/>
      <c r="G25"/>
      <c r="H25"/>
      <c r="I25"/>
    </row>
    <row r="26" spans="1:11" ht="18" customHeight="1">
      <c r="A26"/>
      <c r="B26"/>
      <c r="C26"/>
      <c r="D26"/>
      <c r="E26"/>
      <c r="F26"/>
      <c r="G26"/>
      <c r="H26"/>
      <c r="I26"/>
    </row>
    <row r="27" spans="1:11" ht="18" customHeight="1">
      <c r="A27"/>
      <c r="B27"/>
      <c r="C27"/>
      <c r="D27"/>
      <c r="E27"/>
      <c r="F27"/>
      <c r="G27"/>
      <c r="H27"/>
      <c r="I27"/>
    </row>
    <row r="28" spans="1:11" ht="18" customHeight="1">
      <c r="A28"/>
      <c r="B28"/>
      <c r="C28"/>
      <c r="D28"/>
      <c r="E28"/>
      <c r="F28"/>
      <c r="G28"/>
      <c r="H28"/>
      <c r="I28"/>
    </row>
    <row r="29" spans="1:11" ht="18" customHeight="1">
      <c r="A29"/>
      <c r="B29"/>
      <c r="C29"/>
      <c r="D29"/>
      <c r="E29"/>
      <c r="F29"/>
      <c r="G29"/>
      <c r="H29"/>
      <c r="I29"/>
    </row>
    <row r="30" spans="1:11" ht="18" customHeight="1">
      <c r="A30"/>
      <c r="B30"/>
      <c r="C30"/>
      <c r="D30"/>
      <c r="E30"/>
      <c r="F30"/>
      <c r="G30"/>
      <c r="H30"/>
      <c r="I30"/>
    </row>
    <row r="31" spans="1:11" ht="18" customHeight="1">
      <c r="A31"/>
      <c r="B31"/>
      <c r="C31"/>
      <c r="D31"/>
      <c r="E31"/>
      <c r="F31"/>
      <c r="G31"/>
      <c r="H31"/>
      <c r="I31"/>
    </row>
    <row r="32" spans="1:11" ht="18" customHeight="1">
      <c r="A32"/>
      <c r="B32"/>
      <c r="C32"/>
      <c r="D32"/>
      <c r="E32"/>
      <c r="F32"/>
      <c r="G32"/>
      <c r="H32"/>
      <c r="I32"/>
    </row>
    <row r="33" customFormat="1" ht="18" customHeight="1"/>
    <row r="34" customFormat="1" ht="18" customHeight="1"/>
    <row r="35" customFormat="1" ht="18" customHeight="1"/>
    <row r="36" customFormat="1" ht="18" customHeight="1"/>
    <row r="37" customFormat="1" ht="18" customHeight="1"/>
    <row r="38" customFormat="1" ht="18" customHeight="1"/>
    <row r="39" customFormat="1" ht="18" customHeight="1"/>
    <row r="40" customFormat="1" ht="18" customHeight="1"/>
    <row r="41" customFormat="1" ht="18" customHeight="1"/>
    <row r="42" customFormat="1" ht="18" customHeight="1"/>
    <row r="43" customFormat="1" ht="18" customHeight="1"/>
    <row r="44" customFormat="1" ht="18" customHeight="1"/>
    <row r="45" customFormat="1" ht="18" customHeight="1"/>
    <row r="46" customFormat="1" ht="18" customHeight="1"/>
    <row r="47" customFormat="1" ht="18" customHeight="1"/>
    <row r="48" customFormat="1" ht="18" customHeight="1"/>
    <row r="49" customFormat="1"/>
    <row r="50" customFormat="1"/>
    <row r="51" customFormat="1"/>
    <row r="52" customFormat="1"/>
  </sheetData>
  <autoFilter ref="A7:J8" xr:uid="{7F9840F1-C9A8-CA44-BB23-363C4EFD754D}">
    <filterColumn colId="3" showButton="0"/>
    <sortState xmlns:xlrd2="http://schemas.microsoft.com/office/spreadsheetml/2017/richdata2" ref="A8:J47">
      <sortCondition ref="I7:I47"/>
    </sortState>
  </autoFilter>
  <mergeCells count="3">
    <mergeCell ref="F5:I5"/>
    <mergeCell ref="D7:E7"/>
    <mergeCell ref="A3:K4"/>
  </mergeCells>
  <phoneticPr fontId="1"/>
  <pageMargins left="0.70866141732283472" right="0.51181102362204722" top="0.43307086614173229" bottom="0.39370078740157483" header="0.51181102362204722" footer="0.51181102362204722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事業用</vt:lpstr>
      <vt:lpstr>自家用</vt:lpstr>
      <vt:lpstr>事業用!Print_Area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kanagawa</dc:creator>
  <cp:lastModifiedBy>渡邊将樹 KAM本社</cp:lastModifiedBy>
  <cp:lastPrinted>2026-03-26T00:36:32Z</cp:lastPrinted>
  <dcterms:created xsi:type="dcterms:W3CDTF">2011-03-17T02:12:07Z</dcterms:created>
  <dcterms:modified xsi:type="dcterms:W3CDTF">2026-04-14T07:15:50Z</dcterms:modified>
</cp:coreProperties>
</file>